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harlesbelford/Documents/GB_cv&amp;diplomas/"/>
    </mc:Choice>
  </mc:AlternateContent>
  <xr:revisionPtr revIDLastSave="0" documentId="13_ncr:1_{746E3C14-FCF8-A842-88A6-20DB15FF8798}" xr6:coauthVersionLast="47" xr6:coauthVersionMax="47" xr10:uidLastSave="{00000000-0000-0000-0000-000000000000}"/>
  <bookViews>
    <workbookView xWindow="4760" yWindow="4080" windowWidth="50020" windowHeight="23320" xr2:uid="{918402B2-0FF2-5741-A998-B8620B11A515}"/>
  </bookViews>
  <sheets>
    <sheet name="IG hedging" sheetId="1" r:id="rId1"/>
  </sheets>
  <externalReferences>
    <externalReference r:id="rId2"/>
    <externalReference r:id="rId3"/>
    <externalReference r:id="rId4"/>
    <externalReference r:id="rId5"/>
    <externalReference r:id="rId6"/>
  </externalReferences>
  <definedNames>
    <definedName name="_xlnm._FilterDatabase" hidden="1">#N/A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Avg_Entry_Px_for_UnrlzdPnL">'[2]BitMEX Perp Swap XBTUSD'!$E$27</definedName>
    <definedName name="Borrowed_Funds">'[2]BitMex XBT v XBU'!$H$12</definedName>
    <definedName name="Call_Premium">'[2]Bitcoin-BSModel'!$C$24</definedName>
    <definedName name="CIQWBGuid" hidden="1">"EGM_GSFX_103016.xlsx"</definedName>
    <definedName name="EntryPositionValue">'[2]BitMEX Perp Swap XBTUSD'!$E$30</definedName>
    <definedName name="EntryPx">'[2]BitMEX Perp Swap XBTUSD'!$E$28</definedName>
    <definedName name="Equity_Cash">'[2]BitMex XBT v XBU'!$D$3</definedName>
    <definedName name="Equity_XBT">'[2]BitMex XBT v XBU'!$D$4</definedName>
    <definedName name="FF" hidden="1">#REF!</definedName>
    <definedName name="FFF" hidden="1">#REF!</definedName>
    <definedName name="Initial_Leverage">'[2]BitMEX Perp Swap XBTUSD'!$E$25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42671.8855787037</definedName>
    <definedName name="IQ_QTD" hidden="1">750000</definedName>
    <definedName name="IQ_TODAY" hidden="1">0</definedName>
    <definedName name="IQ_YTDMONTH" hidden="1">130000</definedName>
    <definedName name="MGSTibGet_Names" hidden="1">"RTXL1:1::,RTXL2:1::"</definedName>
    <definedName name="N0TSXAPIXCtrl" hidden="1">[3]TSAPI!$A$65536:$IV$65536</definedName>
    <definedName name="N106TSXAPIXCtrl" hidden="1">[4]JGBs!#REF!</definedName>
    <definedName name="N12TSXAPIXCtrl" hidden="1">#REF!</definedName>
    <definedName name="N13TSXAPIXCtrl" hidden="1">#REF!</definedName>
    <definedName name="N14TSXAPIXCtrl" hidden="1">'[3]TSAPI MGTbook'!$A$65536:$IV$65536</definedName>
    <definedName name="N2TSXAPIXCtrl" hidden="1">'[3]TSAPI Summary'!$A$65536:$IV$65536</definedName>
    <definedName name="N32TSXAPIXCtrl" hidden="1">#REF!</definedName>
    <definedName name="N332TSXAPIXCtrl" hidden="1">#REF!</definedName>
    <definedName name="N3TSXAPIXCtrl" hidden="1">#REF!</definedName>
    <definedName name="N662TSXAPIXCtrl" hidden="1">#REF!</definedName>
    <definedName name="N807TSXAPIXCtrl" hidden="1">#REF!</definedName>
    <definedName name="N850TSXAPIXCtrl" hidden="1">#REF!</definedName>
    <definedName name="Quanto_Premium">'[2]BitMex XBT v XBU'!$D$24</definedName>
    <definedName name="QuantoFutMultiplier">'[2]BitMex XBT v XBU'!$F$26</definedName>
    <definedName name="QuantoFuture_EntryPx">'[2]BitMex XBT v XBU'!$E$26</definedName>
    <definedName name="RealTime" hidden="1">[5]!MGSTGE_YenSwapPricer_aw_7__version_2_.xls+[5]Profiles!$E$3</definedName>
    <definedName name="riskfree">'[2]Bitcoin-BSModel'!$C$14</definedName>
    <definedName name="RTXL1" hidden="1">[5]!MGSTGE_CAL_MarketData_Builder.xls+[5]Profiles!$E$3</definedName>
    <definedName name="RTXL2" hidden="1">[5]!MGSTGE_CAL_MarketData_Builder.xls+[5]Profiles!$E$4</definedName>
    <definedName name="solver_eng" localSheetId="0" hidden="1">1</definedName>
    <definedName name="solver_lin" localSheetId="0" hidden="1">2</definedName>
    <definedName name="solver_neg" localSheetId="0" hidden="1">1</definedName>
    <definedName name="solver_num" localSheetId="0" hidden="1">0</definedName>
    <definedName name="solver_opt" localSheetId="0" hidden="1">'IG hedging'!$A$1</definedName>
    <definedName name="solver_typ" localSheetId="0" hidden="1">1</definedName>
    <definedName name="solver_val" localSheetId="0" hidden="1">0</definedName>
    <definedName name="solver_ver" localSheetId="0" hidden="1">2</definedName>
    <definedName name="Spot">'[2]Bitcoin-BSModel'!$C$11</definedName>
    <definedName name="strike">'[2]Bitcoin-BSModel'!$C$12</definedName>
    <definedName name="T11TSAPIXA1" hidden="1">#REF!</definedName>
    <definedName name="T1TSAPIXA1" hidden="1">#REF!</definedName>
    <definedName name="term">'[2]Bitcoin-BSModel'!$C$13</definedName>
    <definedName name="vol">'[2]Bitcoin-BSModel'!$C$15</definedName>
    <definedName name="XBTUSD_Px_Original">'[2]BitMex XBT v XBU'!$D$5</definedName>
    <definedName name="XBTUSD_PxChg_Perc">'[2]BitMex XBT v XBU'!$D$6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72" i="1" l="1"/>
  <c r="AP71" i="1"/>
  <c r="AP70" i="1"/>
  <c r="AP69" i="1"/>
  <c r="AP68" i="1"/>
  <c r="AP67" i="1"/>
  <c r="AP66" i="1"/>
  <c r="AP65" i="1"/>
  <c r="AP64" i="1"/>
  <c r="AP63" i="1"/>
  <c r="AM63" i="1"/>
  <c r="AP62" i="1"/>
  <c r="AP61" i="1"/>
  <c r="AP60" i="1"/>
  <c r="AP59" i="1"/>
  <c r="AP58" i="1"/>
  <c r="AP57" i="1"/>
  <c r="AP56" i="1"/>
  <c r="AP55" i="1"/>
  <c r="AM55" i="1"/>
  <c r="AP54" i="1"/>
  <c r="AP53" i="1"/>
  <c r="AP52" i="1"/>
  <c r="AP51" i="1"/>
  <c r="AR51" i="1" s="1"/>
  <c r="AP50" i="1"/>
  <c r="AR50" i="1" s="1"/>
  <c r="AR49" i="1"/>
  <c r="AP49" i="1"/>
  <c r="AM49" i="1"/>
  <c r="AP48" i="1"/>
  <c r="AR48" i="1" s="1"/>
  <c r="AS45" i="1"/>
  <c r="AQ45" i="1"/>
  <c r="AO45" i="1"/>
  <c r="W41" i="1"/>
  <c r="W39" i="1"/>
  <c r="X38" i="1"/>
  <c r="W38" i="1"/>
  <c r="W34" i="1"/>
  <c r="W32" i="1"/>
  <c r="X31" i="1"/>
  <c r="W27" i="1"/>
  <c r="W22" i="1"/>
  <c r="M21" i="1"/>
  <c r="L21" i="1"/>
  <c r="A21" i="1"/>
  <c r="Z20" i="1"/>
  <c r="Z21" i="1" s="1"/>
  <c r="X20" i="1"/>
  <c r="W20" i="1"/>
  <c r="L20" i="1"/>
  <c r="J20" i="1"/>
  <c r="E20" i="1"/>
  <c r="D20" i="1"/>
  <c r="P20" i="1" s="1"/>
  <c r="C20" i="1"/>
  <c r="A20" i="1"/>
  <c r="X18" i="1"/>
  <c r="W18" i="1"/>
  <c r="W17" i="1"/>
  <c r="W15" i="1"/>
  <c r="X14" i="1"/>
  <c r="W14" i="1"/>
  <c r="Z12" i="1"/>
  <c r="AG12" i="1" s="1"/>
  <c r="A12" i="1"/>
  <c r="L12" i="1" s="1"/>
  <c r="X11" i="1"/>
  <c r="W11" i="1"/>
  <c r="W10" i="1"/>
  <c r="W9" i="1"/>
  <c r="X8" i="1"/>
  <c r="W8" i="1"/>
  <c r="X6" i="1"/>
  <c r="X5" i="1"/>
  <c r="W5" i="1"/>
  <c r="AH2" i="1"/>
  <c r="AF2" i="1"/>
  <c r="AD2" i="1"/>
  <c r="I2" i="1"/>
  <c r="X19" i="1" s="1"/>
  <c r="G2" i="1"/>
  <c r="E2" i="1"/>
  <c r="AS21" i="1" l="1"/>
  <c r="AS20" i="1"/>
  <c r="AS12" i="1"/>
  <c r="B12" i="1"/>
  <c r="AA12" i="1"/>
  <c r="C12" i="1"/>
  <c r="AB12" i="1"/>
  <c r="AB20" i="1"/>
  <c r="A5" i="1"/>
  <c r="K5" i="1" s="1"/>
  <c r="Z5" i="1"/>
  <c r="H12" i="1"/>
  <c r="AK20" i="1"/>
  <c r="AB21" i="1"/>
  <c r="AD5" i="1"/>
  <c r="AD21" i="1"/>
  <c r="AP21" i="1" s="1"/>
  <c r="AF21" i="1"/>
  <c r="AL20" i="1"/>
  <c r="AD20" i="1"/>
  <c r="AJ21" i="1"/>
  <c r="AA21" i="1"/>
  <c r="AJ20" i="1"/>
  <c r="AA20" i="1"/>
  <c r="AT12" i="1" s="1"/>
  <c r="AE12" i="1"/>
  <c r="AL12" i="1"/>
  <c r="AD12" i="1"/>
  <c r="AP12" i="1" s="1"/>
  <c r="AH20" i="1"/>
  <c r="AL21" i="1"/>
  <c r="AC20" i="1"/>
  <c r="AG20" i="1"/>
  <c r="AJ12" i="1"/>
  <c r="AF20" i="1"/>
  <c r="AR20" i="1" s="1"/>
  <c r="AE20" i="1"/>
  <c r="AQ20" i="1" s="1"/>
  <c r="AA5" i="1"/>
  <c r="AF12" i="1"/>
  <c r="AR12" i="1" s="1"/>
  <c r="AK12" i="1"/>
  <c r="AC12" i="1"/>
  <c r="AI12" i="1"/>
  <c r="AH12" i="1"/>
  <c r="AE21" i="1"/>
  <c r="AQ21" i="1" s="1"/>
  <c r="AT5" i="1"/>
  <c r="H21" i="1"/>
  <c r="I21" i="1"/>
  <c r="A22" i="1"/>
  <c r="K22" i="1" s="1"/>
  <c r="V21" i="1"/>
  <c r="Y21" i="1" s="1"/>
  <c r="D21" i="1"/>
  <c r="P21" i="1" s="1"/>
  <c r="C21" i="1"/>
  <c r="AK21" i="1"/>
  <c r="V12" i="1"/>
  <c r="J12" i="1"/>
  <c r="I12" i="1"/>
  <c r="D12" i="1"/>
  <c r="P12" i="1" s="1"/>
  <c r="Z6" i="1"/>
  <c r="AJ6" i="1" s="1"/>
  <c r="Z7" i="1"/>
  <c r="AT7" i="1" s="1"/>
  <c r="Z13" i="1"/>
  <c r="AL13" i="1" s="1"/>
  <c r="J21" i="1"/>
  <c r="Z22" i="1"/>
  <c r="AE22" i="1" s="1"/>
  <c r="AI21" i="1"/>
  <c r="AH21" i="1"/>
  <c r="AC21" i="1"/>
  <c r="AG21" i="1"/>
  <c r="W24" i="1"/>
  <c r="W26" i="1"/>
  <c r="X34" i="1"/>
  <c r="W37" i="1"/>
  <c r="W28" i="1"/>
  <c r="F20" i="1"/>
  <c r="R20" i="1" s="1"/>
  <c r="W40" i="1"/>
  <c r="W25" i="1"/>
  <c r="W31" i="1"/>
  <c r="K14" i="1"/>
  <c r="W12" i="1"/>
  <c r="G12" i="1"/>
  <c r="W30" i="1"/>
  <c r="G21" i="1"/>
  <c r="S21" i="1" s="1"/>
  <c r="B14" i="1"/>
  <c r="F12" i="1"/>
  <c r="R12" i="1" s="1"/>
  <c r="W36" i="1"/>
  <c r="W29" i="1"/>
  <c r="F22" i="1"/>
  <c r="F21" i="1"/>
  <c r="R21" i="1" s="1"/>
  <c r="G20" i="1"/>
  <c r="S20" i="1" s="1"/>
  <c r="W13" i="1"/>
  <c r="G13" i="1"/>
  <c r="M12" i="1"/>
  <c r="E12" i="1"/>
  <c r="K21" i="1"/>
  <c r="B21" i="1"/>
  <c r="K20" i="1"/>
  <c r="Q20" i="1" s="1"/>
  <c r="B20" i="1"/>
  <c r="U12" i="1" s="1"/>
  <c r="W7" i="1"/>
  <c r="X10" i="1"/>
  <c r="T12" i="1"/>
  <c r="F14" i="1"/>
  <c r="T14" i="1"/>
  <c r="X15" i="1"/>
  <c r="W19" i="1"/>
  <c r="M20" i="1"/>
  <c r="U21" i="1"/>
  <c r="W33" i="1"/>
  <c r="T21" i="1"/>
  <c r="T20" i="1"/>
  <c r="X7" i="1"/>
  <c r="X12" i="1"/>
  <c r="U14" i="1"/>
  <c r="W16" i="1"/>
  <c r="X41" i="1"/>
  <c r="X37" i="1"/>
  <c r="X33" i="1"/>
  <c r="X29" i="1"/>
  <c r="X40" i="1"/>
  <c r="X25" i="1"/>
  <c r="X21" i="1"/>
  <c r="X17" i="1"/>
  <c r="X26" i="1"/>
  <c r="X30" i="1"/>
  <c r="X36" i="1"/>
  <c r="X13" i="1"/>
  <c r="X9" i="1"/>
  <c r="X35" i="1"/>
  <c r="X24" i="1"/>
  <c r="X23" i="1"/>
  <c r="X22" i="1"/>
  <c r="X39" i="1"/>
  <c r="X32" i="1"/>
  <c r="X27" i="1"/>
  <c r="E5" i="1"/>
  <c r="M5" i="1"/>
  <c r="W6" i="1"/>
  <c r="K12" i="1"/>
  <c r="X16" i="1"/>
  <c r="V20" i="1"/>
  <c r="Y20" i="1" s="1"/>
  <c r="I20" i="1"/>
  <c r="O20" i="1" s="1"/>
  <c r="A13" i="1"/>
  <c r="M13" i="1" s="1"/>
  <c r="H20" i="1"/>
  <c r="Z14" i="1"/>
  <c r="AE14" i="1" s="1"/>
  <c r="A14" i="1"/>
  <c r="E21" i="1"/>
  <c r="Q21" i="1" s="1"/>
  <c r="W21" i="1"/>
  <c r="W23" i="1"/>
  <c r="X28" i="1"/>
  <c r="W35" i="1"/>
  <c r="AI20" i="1"/>
  <c r="AM73" i="1"/>
  <c r="AM69" i="1"/>
  <c r="AM65" i="1"/>
  <c r="AM61" i="1"/>
  <c r="AM57" i="1"/>
  <c r="AM53" i="1"/>
  <c r="AM50" i="1"/>
  <c r="AM72" i="1"/>
  <c r="AM68" i="1"/>
  <c r="AM64" i="1"/>
  <c r="AM60" i="1"/>
  <c r="AM56" i="1"/>
  <c r="AM52" i="1"/>
  <c r="AM71" i="1"/>
  <c r="AM70" i="1"/>
  <c r="AM66" i="1"/>
  <c r="AM62" i="1"/>
  <c r="AM58" i="1"/>
  <c r="AM54" i="1"/>
  <c r="AM48" i="1"/>
  <c r="AM59" i="1"/>
  <c r="AM67" i="1"/>
  <c r="AM51" i="1"/>
  <c r="C14" i="1" l="1"/>
  <c r="J14" i="1"/>
  <c r="I14" i="1"/>
  <c r="V14" i="1"/>
  <c r="Y14" i="1" s="1"/>
  <c r="H14" i="1"/>
  <c r="D14" i="1"/>
  <c r="P14" i="1" s="1"/>
  <c r="E14" i="1"/>
  <c r="Q14" i="1" s="1"/>
  <c r="L14" i="1"/>
  <c r="M14" i="1"/>
  <c r="U5" i="1"/>
  <c r="T22" i="1"/>
  <c r="Q12" i="1"/>
  <c r="S12" i="1"/>
  <c r="AD14" i="1"/>
  <c r="Z15" i="1"/>
  <c r="O21" i="1"/>
  <c r="AD6" i="1"/>
  <c r="AP6" i="1" s="1"/>
  <c r="AE6" i="1"/>
  <c r="AJ22" i="1"/>
  <c r="AR21" i="1"/>
  <c r="AK5" i="1"/>
  <c r="AC5" i="1"/>
  <c r="AO5" i="1" s="1"/>
  <c r="AB5" i="1"/>
  <c r="AI5" i="1"/>
  <c r="AG5" i="1"/>
  <c r="AH5" i="1"/>
  <c r="O12" i="1"/>
  <c r="AS7" i="1"/>
  <c r="AG13" i="1"/>
  <c r="AC13" i="1"/>
  <c r="AO13" i="1" s="1"/>
  <c r="AB13" i="1"/>
  <c r="AK13" i="1"/>
  <c r="AI13" i="1"/>
  <c r="AH13" i="1"/>
  <c r="AL6" i="1"/>
  <c r="AO20" i="1"/>
  <c r="L5" i="1"/>
  <c r="D5" i="1"/>
  <c r="C5" i="1"/>
  <c r="V5" i="1"/>
  <c r="Y5" i="1" s="1"/>
  <c r="H5" i="1"/>
  <c r="I5" i="1"/>
  <c r="G5" i="1"/>
  <c r="S5" i="1" s="1"/>
  <c r="F5" i="1"/>
  <c r="B5" i="1"/>
  <c r="N5" i="1" s="1"/>
  <c r="J5" i="1"/>
  <c r="Q5" i="1"/>
  <c r="AH22" i="1"/>
  <c r="Z23" i="1"/>
  <c r="AI22" i="1"/>
  <c r="AG22" i="1"/>
  <c r="AC22" i="1"/>
  <c r="AO22" i="1" s="1"/>
  <c r="AB22" i="1"/>
  <c r="AN22" i="1" s="1"/>
  <c r="AK22" i="1"/>
  <c r="AQ22" i="1" s="1"/>
  <c r="Y12" i="1"/>
  <c r="AL7" i="1"/>
  <c r="AO12" i="1"/>
  <c r="AJ13" i="1"/>
  <c r="AT6" i="1"/>
  <c r="AF22" i="1"/>
  <c r="AR22" i="1" s="1"/>
  <c r="AS6" i="1"/>
  <c r="AI14" i="1"/>
  <c r="AH14" i="1"/>
  <c r="AG14" i="1"/>
  <c r="AC14" i="1"/>
  <c r="AO14" i="1" s="1"/>
  <c r="AB14" i="1"/>
  <c r="AN14" i="1" s="1"/>
  <c r="AK14" i="1"/>
  <c r="AQ14" i="1" s="1"/>
  <c r="S13" i="1"/>
  <c r="R22" i="1"/>
  <c r="AG7" i="1"/>
  <c r="AK7" i="1"/>
  <c r="AC7" i="1"/>
  <c r="AI7" i="1"/>
  <c r="AH7" i="1"/>
  <c r="AB7" i="1"/>
  <c r="AN7" i="1" s="1"/>
  <c r="J22" i="1"/>
  <c r="H22" i="1"/>
  <c r="A23" i="1"/>
  <c r="L22" i="1"/>
  <c r="E22" i="1"/>
  <c r="Q22" i="1" s="1"/>
  <c r="V22" i="1"/>
  <c r="Y22" i="1" s="1"/>
  <c r="U22" i="1"/>
  <c r="I22" i="1"/>
  <c r="D22" i="1"/>
  <c r="P22" i="1" s="1"/>
  <c r="C22" i="1"/>
  <c r="O22" i="1" s="1"/>
  <c r="AS13" i="1"/>
  <c r="AM5" i="1"/>
  <c r="AF7" i="1"/>
  <c r="AR7" i="1" s="1"/>
  <c r="AL22" i="1"/>
  <c r="AF13" i="1"/>
  <c r="AR13" i="1" s="1"/>
  <c r="AM20" i="1"/>
  <c r="AD7" i="1"/>
  <c r="AP7" i="1" s="1"/>
  <c r="AS14" i="1"/>
  <c r="R14" i="1"/>
  <c r="N20" i="1"/>
  <c r="U20" i="1"/>
  <c r="N14" i="1"/>
  <c r="AK6" i="1"/>
  <c r="AC6" i="1"/>
  <c r="AI6" i="1"/>
  <c r="AH6" i="1"/>
  <c r="AG6" i="1"/>
  <c r="AB6" i="1"/>
  <c r="AN6" i="1" s="1"/>
  <c r="Z8" i="1"/>
  <c r="AA7" i="1"/>
  <c r="AM7" i="1" s="1"/>
  <c r="AE7" i="1"/>
  <c r="AQ7" i="1" s="1"/>
  <c r="AD22" i="1"/>
  <c r="AP22" i="1" s="1"/>
  <c r="AQ12" i="1"/>
  <c r="AT22" i="1"/>
  <c r="AF6" i="1"/>
  <c r="AL14" i="1"/>
  <c r="M22" i="1"/>
  <c r="G14" i="1"/>
  <c r="S14" i="1" s="1"/>
  <c r="T5" i="1"/>
  <c r="B22" i="1"/>
  <c r="N22" i="1" s="1"/>
  <c r="AT21" i="1"/>
  <c r="A6" i="1"/>
  <c r="AF5" i="1"/>
  <c r="AJ7" i="1"/>
  <c r="AA14" i="1"/>
  <c r="AM14" i="1" s="1"/>
  <c r="AM21" i="1"/>
  <c r="AP20" i="1"/>
  <c r="AN21" i="1"/>
  <c r="AN20" i="1"/>
  <c r="AA6" i="1"/>
  <c r="AM6" i="1" s="1"/>
  <c r="AM12" i="1"/>
  <c r="AS5" i="1"/>
  <c r="I13" i="1"/>
  <c r="H13" i="1"/>
  <c r="D13" i="1"/>
  <c r="P13" i="1" s="1"/>
  <c r="C13" i="1"/>
  <c r="V13" i="1"/>
  <c r="Y13" i="1" s="1"/>
  <c r="K13" i="1"/>
  <c r="U13" i="1"/>
  <c r="T13" i="1"/>
  <c r="L13" i="1"/>
  <c r="J13" i="1"/>
  <c r="E13" i="1"/>
  <c r="Q13" i="1" s="1"/>
  <c r="F13" i="1"/>
  <c r="B13" i="1"/>
  <c r="N21" i="1"/>
  <c r="G22" i="1"/>
  <c r="A7" i="1"/>
  <c r="AE5" i="1"/>
  <c r="AQ5" i="1" s="1"/>
  <c r="AF14" i="1"/>
  <c r="AR14" i="1" s="1"/>
  <c r="AJ14" i="1"/>
  <c r="N12" i="1"/>
  <c r="AD13" i="1"/>
  <c r="AO21" i="1"/>
  <c r="Z9" i="1"/>
  <c r="A15" i="1"/>
  <c r="AT13" i="1"/>
  <c r="AA13" i="1"/>
  <c r="AM13" i="1" s="1"/>
  <c r="AJ5" i="1"/>
  <c r="AP5" i="1" s="1"/>
  <c r="AT14" i="1"/>
  <c r="AE13" i="1"/>
  <c r="AQ13" i="1" s="1"/>
  <c r="AA22" i="1"/>
  <c r="AT20" i="1"/>
  <c r="AN12" i="1"/>
  <c r="AL5" i="1"/>
  <c r="AS22" i="1"/>
  <c r="AP14" i="1" l="1"/>
  <c r="AO6" i="1"/>
  <c r="R5" i="1"/>
  <c r="L15" i="1"/>
  <c r="D15" i="1"/>
  <c r="P15" i="1" s="1"/>
  <c r="C15" i="1"/>
  <c r="O15" i="1" s="1"/>
  <c r="J15" i="1"/>
  <c r="V15" i="1"/>
  <c r="Y15" i="1" s="1"/>
  <c r="H15" i="1"/>
  <c r="I15" i="1"/>
  <c r="G15" i="1"/>
  <c r="S15" i="1" s="1"/>
  <c r="F15" i="1"/>
  <c r="R15" i="1" s="1"/>
  <c r="B15" i="1"/>
  <c r="N15" i="1" s="1"/>
  <c r="A16" i="1"/>
  <c r="U15" i="1"/>
  <c r="K15" i="1"/>
  <c r="T15" i="1"/>
  <c r="M15" i="1"/>
  <c r="E15" i="1"/>
  <c r="I7" i="1"/>
  <c r="H7" i="1"/>
  <c r="U7" i="1"/>
  <c r="M7" i="1"/>
  <c r="E7" i="1"/>
  <c r="Q7" i="1" s="1"/>
  <c r="J7" i="1"/>
  <c r="V7" i="1"/>
  <c r="Y7" i="1" s="1"/>
  <c r="F7" i="1"/>
  <c r="T7" i="1"/>
  <c r="D7" i="1"/>
  <c r="P7" i="1" s="1"/>
  <c r="C7" i="1"/>
  <c r="O7" i="1" s="1"/>
  <c r="B7" i="1"/>
  <c r="N7" i="1" s="1"/>
  <c r="L7" i="1"/>
  <c r="K7" i="1"/>
  <c r="G7" i="1"/>
  <c r="A8" i="1"/>
  <c r="AG9" i="1"/>
  <c r="AC9" i="1"/>
  <c r="AB9" i="1"/>
  <c r="AN9" i="1" s="1"/>
  <c r="AK9" i="1"/>
  <c r="AI9" i="1"/>
  <c r="AH9" i="1"/>
  <c r="AS9" i="1"/>
  <c r="AE9" i="1"/>
  <c r="AA9" i="1"/>
  <c r="AM9" i="1" s="1"/>
  <c r="AF9" i="1"/>
  <c r="AT9" i="1"/>
  <c r="AL9" i="1"/>
  <c r="AJ9" i="1"/>
  <c r="AD9" i="1"/>
  <c r="Z10" i="1"/>
  <c r="S22" i="1"/>
  <c r="AI8" i="1"/>
  <c r="AH8" i="1"/>
  <c r="AG8" i="1"/>
  <c r="AS8" i="1"/>
  <c r="AK8" i="1"/>
  <c r="AB8" i="1"/>
  <c r="AC8" i="1"/>
  <c r="AF8" i="1"/>
  <c r="AT8" i="1"/>
  <c r="AL8" i="1"/>
  <c r="AE8" i="1"/>
  <c r="AD8" i="1"/>
  <c r="AP8" i="1" s="1"/>
  <c r="AA8" i="1"/>
  <c r="AM8" i="1" s="1"/>
  <c r="AJ8" i="1"/>
  <c r="AB23" i="1"/>
  <c r="Z24" i="1"/>
  <c r="AI23" i="1"/>
  <c r="AH23" i="1"/>
  <c r="AG23" i="1"/>
  <c r="AC23" i="1"/>
  <c r="AO23" i="1" s="1"/>
  <c r="AK23" i="1"/>
  <c r="AF23" i="1"/>
  <c r="AA23" i="1"/>
  <c r="AE23" i="1"/>
  <c r="AL23" i="1"/>
  <c r="AT23" i="1"/>
  <c r="AD23" i="1"/>
  <c r="AJ23" i="1"/>
  <c r="AS23" i="1"/>
  <c r="AQ6" i="1"/>
  <c r="AM22" i="1"/>
  <c r="AR5" i="1"/>
  <c r="AR6" i="1"/>
  <c r="AO7" i="1"/>
  <c r="O14" i="1"/>
  <c r="AP13" i="1"/>
  <c r="N13" i="1"/>
  <c r="V6" i="1"/>
  <c r="Y6" i="1" s="1"/>
  <c r="L6" i="1"/>
  <c r="K6" i="1"/>
  <c r="J6" i="1"/>
  <c r="B6" i="1"/>
  <c r="T6" i="1"/>
  <c r="I6" i="1"/>
  <c r="H6" i="1"/>
  <c r="D6" i="1"/>
  <c r="C6" i="1"/>
  <c r="E6" i="1"/>
  <c r="Q6" i="1" s="1"/>
  <c r="G6" i="1"/>
  <c r="M6" i="1"/>
  <c r="U6" i="1"/>
  <c r="F6" i="1"/>
  <c r="R6" i="1" s="1"/>
  <c r="O5" i="1"/>
  <c r="R13" i="1"/>
  <c r="O13" i="1"/>
  <c r="L23" i="1"/>
  <c r="D23" i="1"/>
  <c r="H23" i="1"/>
  <c r="A24" i="1"/>
  <c r="J23" i="1"/>
  <c r="V23" i="1"/>
  <c r="Y23" i="1" s="1"/>
  <c r="C23" i="1"/>
  <c r="M23" i="1"/>
  <c r="K23" i="1"/>
  <c r="I23" i="1"/>
  <c r="G23" i="1"/>
  <c r="S23" i="1" s="1"/>
  <c r="T23" i="1"/>
  <c r="E23" i="1"/>
  <c r="Q23" i="1" s="1"/>
  <c r="F23" i="1"/>
  <c r="R23" i="1" s="1"/>
  <c r="B23" i="1"/>
  <c r="U23" i="1"/>
  <c r="P5" i="1"/>
  <c r="AN13" i="1"/>
  <c r="AN5" i="1"/>
  <c r="AC15" i="1"/>
  <c r="AO15" i="1" s="1"/>
  <c r="AK15" i="1"/>
  <c r="AB15" i="1"/>
  <c r="AN15" i="1" s="1"/>
  <c r="AI15" i="1"/>
  <c r="AG15" i="1"/>
  <c r="AH15" i="1"/>
  <c r="AJ15" i="1"/>
  <c r="AD15" i="1"/>
  <c r="AP15" i="1" s="1"/>
  <c r="AL15" i="1"/>
  <c r="AF15" i="1"/>
  <c r="AR15" i="1" s="1"/>
  <c r="AT15" i="1"/>
  <c r="AS15" i="1"/>
  <c r="AE15" i="1"/>
  <c r="Z16" i="1"/>
  <c r="AA15" i="1"/>
  <c r="AM15" i="1" s="1"/>
  <c r="V24" i="1" l="1"/>
  <c r="Y24" i="1" s="1"/>
  <c r="H24" i="1"/>
  <c r="J24" i="1"/>
  <c r="L24" i="1"/>
  <c r="D24" i="1"/>
  <c r="P24" i="1" s="1"/>
  <c r="A25" i="1"/>
  <c r="I24" i="1"/>
  <c r="C24" i="1"/>
  <c r="B24" i="1"/>
  <c r="U24" i="1"/>
  <c r="T24" i="1"/>
  <c r="F24" i="1"/>
  <c r="R24" i="1" s="1"/>
  <c r="E24" i="1"/>
  <c r="M24" i="1"/>
  <c r="K24" i="1"/>
  <c r="G24" i="1"/>
  <c r="AP23" i="1"/>
  <c r="AQ8" i="1"/>
  <c r="V16" i="1"/>
  <c r="Y16" i="1" s="1"/>
  <c r="J16" i="1"/>
  <c r="I16" i="1"/>
  <c r="H16" i="1"/>
  <c r="C16" i="1"/>
  <c r="O16" i="1" s="1"/>
  <c r="T16" i="1"/>
  <c r="M16" i="1"/>
  <c r="L16" i="1"/>
  <c r="D16" i="1"/>
  <c r="B16" i="1"/>
  <c r="G16" i="1"/>
  <c r="S16" i="1" s="1"/>
  <c r="F16" i="1"/>
  <c r="R16" i="1" s="1"/>
  <c r="E16" i="1"/>
  <c r="Q16" i="1" s="1"/>
  <c r="U16" i="1"/>
  <c r="K16" i="1"/>
  <c r="A17" i="1"/>
  <c r="AR9" i="1"/>
  <c r="AO9" i="1"/>
  <c r="N6" i="1"/>
  <c r="P23" i="1"/>
  <c r="S6" i="1"/>
  <c r="AK16" i="1"/>
  <c r="AB16" i="1"/>
  <c r="AI16" i="1"/>
  <c r="AH16" i="1"/>
  <c r="AG16" i="1"/>
  <c r="AC16" i="1"/>
  <c r="AO16" i="1" s="1"/>
  <c r="AS16" i="1"/>
  <c r="AE16" i="1"/>
  <c r="AQ16" i="1" s="1"/>
  <c r="AJ16" i="1"/>
  <c r="AA16" i="1"/>
  <c r="AF16" i="1"/>
  <c r="AT16" i="1"/>
  <c r="Z17" i="1"/>
  <c r="AL16" i="1"/>
  <c r="AD16" i="1"/>
  <c r="AP16" i="1" s="1"/>
  <c r="AQ23" i="1"/>
  <c r="AI24" i="1"/>
  <c r="AH24" i="1"/>
  <c r="AG24" i="1"/>
  <c r="AK24" i="1"/>
  <c r="AB24" i="1"/>
  <c r="AN24" i="1" s="1"/>
  <c r="AC24" i="1"/>
  <c r="AO24" i="1" s="1"/>
  <c r="Z25" i="1"/>
  <c r="AT24" i="1"/>
  <c r="AA24" i="1"/>
  <c r="AM24" i="1" s="1"/>
  <c r="AL24" i="1"/>
  <c r="AF24" i="1"/>
  <c r="AR24" i="1" s="1"/>
  <c r="AJ24" i="1"/>
  <c r="AD24" i="1"/>
  <c r="AP24" i="1" s="1"/>
  <c r="AE24" i="1"/>
  <c r="AQ24" i="1" s="1"/>
  <c r="AS24" i="1"/>
  <c r="AR8" i="1"/>
  <c r="AQ9" i="1"/>
  <c r="C8" i="1"/>
  <c r="J8" i="1"/>
  <c r="I8" i="1"/>
  <c r="G8" i="1"/>
  <c r="L8" i="1"/>
  <c r="H8" i="1"/>
  <c r="V8" i="1"/>
  <c r="Y8" i="1" s="1"/>
  <c r="F8" i="1"/>
  <c r="U8" i="1"/>
  <c r="E8" i="1"/>
  <c r="T8" i="1"/>
  <c r="D8" i="1"/>
  <c r="P8" i="1" s="1"/>
  <c r="M8" i="1"/>
  <c r="K8" i="1"/>
  <c r="A9" i="1"/>
  <c r="B8" i="1"/>
  <c r="R7" i="1"/>
  <c r="Q15" i="1"/>
  <c r="AQ15" i="1"/>
  <c r="O6" i="1"/>
  <c r="AM23" i="1"/>
  <c r="AN23" i="1"/>
  <c r="AO8" i="1"/>
  <c r="AI10" i="1"/>
  <c r="AH10" i="1"/>
  <c r="AG10" i="1"/>
  <c r="AB10" i="1"/>
  <c r="AN10" i="1" s="1"/>
  <c r="AK10" i="1"/>
  <c r="AC10" i="1"/>
  <c r="AO10" i="1" s="1"/>
  <c r="AS10" i="1"/>
  <c r="AF10" i="1"/>
  <c r="AR10" i="1" s="1"/>
  <c r="AL10" i="1"/>
  <c r="AD10" i="1"/>
  <c r="AA10" i="1"/>
  <c r="AM10" i="1" s="1"/>
  <c r="AJ10" i="1"/>
  <c r="AE10" i="1"/>
  <c r="AQ10" i="1" s="1"/>
  <c r="AT10" i="1"/>
  <c r="Z11" i="1"/>
  <c r="S7" i="1"/>
  <c r="N23" i="1"/>
  <c r="O23" i="1"/>
  <c r="P6" i="1"/>
  <c r="AR23" i="1"/>
  <c r="AN8" i="1"/>
  <c r="AP9" i="1"/>
  <c r="I9" i="1" l="1"/>
  <c r="H9" i="1"/>
  <c r="J9" i="1"/>
  <c r="D9" i="1"/>
  <c r="P9" i="1" s="1"/>
  <c r="M9" i="1"/>
  <c r="L9" i="1"/>
  <c r="K9" i="1"/>
  <c r="E9" i="1"/>
  <c r="C9" i="1"/>
  <c r="O9" i="1" s="1"/>
  <c r="U9" i="1"/>
  <c r="V9" i="1"/>
  <c r="Y9" i="1" s="1"/>
  <c r="B9" i="1"/>
  <c r="N9" i="1" s="1"/>
  <c r="T9" i="1"/>
  <c r="F9" i="1"/>
  <c r="R9" i="1" s="1"/>
  <c r="G9" i="1"/>
  <c r="S9" i="1" s="1"/>
  <c r="A10" i="1"/>
  <c r="N8" i="1"/>
  <c r="R8" i="1"/>
  <c r="S24" i="1"/>
  <c r="O24" i="1"/>
  <c r="S8" i="1"/>
  <c r="N16" i="1"/>
  <c r="P16" i="1"/>
  <c r="AK11" i="1"/>
  <c r="AC11" i="1"/>
  <c r="AB11" i="1"/>
  <c r="AI11" i="1"/>
  <c r="AH11" i="1"/>
  <c r="AG11" i="1"/>
  <c r="AJ11" i="1"/>
  <c r="AA11" i="1"/>
  <c r="AM11" i="1" s="1"/>
  <c r="AD11" i="1"/>
  <c r="AE11" i="1"/>
  <c r="AS11" i="1"/>
  <c r="AT11" i="1"/>
  <c r="AF11" i="1"/>
  <c r="AR11" i="1" s="1"/>
  <c r="AL11" i="1"/>
  <c r="H25" i="1"/>
  <c r="A26" i="1"/>
  <c r="V25" i="1"/>
  <c r="Y25" i="1" s="1"/>
  <c r="J25" i="1"/>
  <c r="I25" i="1"/>
  <c r="D25" i="1"/>
  <c r="P25" i="1" s="1"/>
  <c r="C25" i="1"/>
  <c r="O25" i="1" s="1"/>
  <c r="L25" i="1"/>
  <c r="G25" i="1"/>
  <c r="S25" i="1" s="1"/>
  <c r="K25" i="1"/>
  <c r="F25" i="1"/>
  <c r="M25" i="1"/>
  <c r="T25" i="1"/>
  <c r="E25" i="1"/>
  <c r="U25" i="1"/>
  <c r="B25" i="1"/>
  <c r="Q8" i="1"/>
  <c r="AR16" i="1"/>
  <c r="H17" i="1"/>
  <c r="J17" i="1"/>
  <c r="I17" i="1"/>
  <c r="V17" i="1"/>
  <c r="Y17" i="1" s="1"/>
  <c r="D17" i="1"/>
  <c r="P17" i="1" s="1"/>
  <c r="B17" i="1"/>
  <c r="N17" i="1" s="1"/>
  <c r="C17" i="1"/>
  <c r="O17" i="1" s="1"/>
  <c r="M17" i="1"/>
  <c r="K17" i="1"/>
  <c r="L17" i="1"/>
  <c r="T17" i="1"/>
  <c r="G17" i="1"/>
  <c r="F17" i="1"/>
  <c r="R17" i="1" s="1"/>
  <c r="A18" i="1"/>
  <c r="E17" i="1"/>
  <c r="Q17" i="1" s="1"/>
  <c r="U17" i="1"/>
  <c r="Z26" i="1"/>
  <c r="AI25" i="1"/>
  <c r="AH25" i="1"/>
  <c r="AG25" i="1"/>
  <c r="AC25" i="1"/>
  <c r="AO25" i="1" s="1"/>
  <c r="AB25" i="1"/>
  <c r="AN25" i="1" s="1"/>
  <c r="AK25" i="1"/>
  <c r="AL25" i="1"/>
  <c r="AD25" i="1"/>
  <c r="AF25" i="1"/>
  <c r="AA25" i="1"/>
  <c r="AS25" i="1"/>
  <c r="AE25" i="1"/>
  <c r="AJ25" i="1"/>
  <c r="AT25" i="1"/>
  <c r="Q24" i="1"/>
  <c r="AK17" i="1"/>
  <c r="AB17" i="1"/>
  <c r="AI17" i="1"/>
  <c r="AH17" i="1"/>
  <c r="AG17" i="1"/>
  <c r="AC17" i="1"/>
  <c r="AO17" i="1" s="1"/>
  <c r="AT17" i="1"/>
  <c r="AA17" i="1"/>
  <c r="AM17" i="1" s="1"/>
  <c r="AL17" i="1"/>
  <c r="AE17" i="1"/>
  <c r="AD17" i="1"/>
  <c r="AF17" i="1"/>
  <c r="Z18" i="1"/>
  <c r="AS17" i="1"/>
  <c r="AJ17" i="1"/>
  <c r="AP10" i="1"/>
  <c r="O8" i="1"/>
  <c r="AM16" i="1"/>
  <c r="AN16" i="1"/>
  <c r="N24" i="1"/>
  <c r="AP25" i="1" l="1"/>
  <c r="AH26" i="1"/>
  <c r="AG26" i="1"/>
  <c r="Z27" i="1"/>
  <c r="AC26" i="1"/>
  <c r="AO26" i="1" s="1"/>
  <c r="AB26" i="1"/>
  <c r="AN26" i="1" s="1"/>
  <c r="AK26" i="1"/>
  <c r="AI26" i="1"/>
  <c r="AS26" i="1"/>
  <c r="AT26" i="1"/>
  <c r="AE26" i="1"/>
  <c r="AL26" i="1"/>
  <c r="AJ26" i="1"/>
  <c r="AD26" i="1"/>
  <c r="AP26" i="1" s="1"/>
  <c r="AA26" i="1"/>
  <c r="AM26" i="1" s="1"/>
  <c r="AF26" i="1"/>
  <c r="R25" i="1"/>
  <c r="AP11" i="1"/>
  <c r="C10" i="1"/>
  <c r="O10" i="1" s="1"/>
  <c r="J10" i="1"/>
  <c r="D10" i="1"/>
  <c r="P10" i="1" s="1"/>
  <c r="V10" i="1"/>
  <c r="Y10" i="1" s="1"/>
  <c r="L10" i="1"/>
  <c r="M10" i="1"/>
  <c r="I10" i="1"/>
  <c r="H10" i="1"/>
  <c r="G10" i="1"/>
  <c r="U10" i="1"/>
  <c r="T10" i="1"/>
  <c r="K10" i="1"/>
  <c r="F10" i="1"/>
  <c r="R10" i="1" s="1"/>
  <c r="B10" i="1"/>
  <c r="N10" i="1" s="1"/>
  <c r="E10" i="1"/>
  <c r="A11" i="1"/>
  <c r="Q9" i="1"/>
  <c r="J26" i="1"/>
  <c r="I26" i="1"/>
  <c r="H26" i="1"/>
  <c r="D26" i="1"/>
  <c r="P26" i="1" s="1"/>
  <c r="C26" i="1"/>
  <c r="L26" i="1"/>
  <c r="E26" i="1"/>
  <c r="A27" i="1"/>
  <c r="V26" i="1"/>
  <c r="Y26" i="1" s="1"/>
  <c r="U26" i="1"/>
  <c r="B26" i="1"/>
  <c r="N26" i="1" s="1"/>
  <c r="M26" i="1"/>
  <c r="K26" i="1"/>
  <c r="F26" i="1"/>
  <c r="R26" i="1" s="1"/>
  <c r="T26" i="1"/>
  <c r="G26" i="1"/>
  <c r="J18" i="1"/>
  <c r="I18" i="1"/>
  <c r="H18" i="1"/>
  <c r="D18" i="1"/>
  <c r="P18" i="1" s="1"/>
  <c r="C18" i="1"/>
  <c r="M18" i="1"/>
  <c r="L18" i="1"/>
  <c r="K18" i="1"/>
  <c r="F18" i="1"/>
  <c r="R18" i="1" s="1"/>
  <c r="V18" i="1"/>
  <c r="Y18" i="1" s="1"/>
  <c r="G18" i="1"/>
  <c r="S18" i="1" s="1"/>
  <c r="T18" i="1"/>
  <c r="E18" i="1"/>
  <c r="Q18" i="1" s="1"/>
  <c r="U18" i="1"/>
  <c r="B18" i="1"/>
  <c r="A19" i="1"/>
  <c r="N25" i="1"/>
  <c r="AH18" i="1"/>
  <c r="AK18" i="1"/>
  <c r="AB18" i="1"/>
  <c r="AN18" i="1" s="1"/>
  <c r="AI18" i="1"/>
  <c r="AG18" i="1"/>
  <c r="AC18" i="1"/>
  <c r="AD18" i="1"/>
  <c r="Z19" i="1"/>
  <c r="AJ18" i="1"/>
  <c r="AF18" i="1"/>
  <c r="AR18" i="1" s="1"/>
  <c r="AS18" i="1"/>
  <c r="AA18" i="1"/>
  <c r="AM18" i="1" s="1"/>
  <c r="AE18" i="1"/>
  <c r="AT18" i="1"/>
  <c r="AL18" i="1"/>
  <c r="AQ25" i="1"/>
  <c r="AR17" i="1"/>
  <c r="S17" i="1"/>
  <c r="Q25" i="1"/>
  <c r="AP17" i="1"/>
  <c r="AM25" i="1"/>
  <c r="AN11" i="1"/>
  <c r="AQ17" i="1"/>
  <c r="AN17" i="1"/>
  <c r="AR25" i="1"/>
  <c r="AQ11" i="1"/>
  <c r="AO11" i="1"/>
  <c r="O18" i="1" l="1"/>
  <c r="O26" i="1"/>
  <c r="AR26" i="1"/>
  <c r="AB19" i="1"/>
  <c r="AK19" i="1"/>
  <c r="AI19" i="1"/>
  <c r="AH19" i="1"/>
  <c r="AC19" i="1"/>
  <c r="AG19" i="1"/>
  <c r="AE19" i="1"/>
  <c r="AL19" i="1"/>
  <c r="AJ19" i="1"/>
  <c r="AS19" i="1"/>
  <c r="AT19" i="1"/>
  <c r="AA19" i="1"/>
  <c r="AM19" i="1" s="1"/>
  <c r="AF19" i="1"/>
  <c r="AR19" i="1" s="1"/>
  <c r="AD19" i="1"/>
  <c r="AB27" i="1"/>
  <c r="AI27" i="1"/>
  <c r="AH27" i="1"/>
  <c r="AG27" i="1"/>
  <c r="Z28" i="1"/>
  <c r="AK27" i="1"/>
  <c r="AC27" i="1"/>
  <c r="AO27" i="1" s="1"/>
  <c r="AL27" i="1"/>
  <c r="AD27" i="1"/>
  <c r="AJ27" i="1"/>
  <c r="AS27" i="1"/>
  <c r="AA27" i="1"/>
  <c r="AM27" i="1" s="1"/>
  <c r="AT27" i="1"/>
  <c r="AE27" i="1"/>
  <c r="AQ27" i="1" s="1"/>
  <c r="AF27" i="1"/>
  <c r="AR27" i="1" s="1"/>
  <c r="AP18" i="1"/>
  <c r="L19" i="1"/>
  <c r="D19" i="1"/>
  <c r="I19" i="1"/>
  <c r="H19" i="1"/>
  <c r="J19" i="1"/>
  <c r="C19" i="1"/>
  <c r="O19" i="1" s="1"/>
  <c r="V19" i="1"/>
  <c r="Y19" i="1" s="1"/>
  <c r="M19" i="1"/>
  <c r="E19" i="1"/>
  <c r="F19" i="1"/>
  <c r="R19" i="1" s="1"/>
  <c r="T19" i="1"/>
  <c r="U19" i="1"/>
  <c r="K19" i="1"/>
  <c r="B19" i="1"/>
  <c r="N19" i="1" s="1"/>
  <c r="G19" i="1"/>
  <c r="S19" i="1" s="1"/>
  <c r="S26" i="1"/>
  <c r="L27" i="1"/>
  <c r="D27" i="1"/>
  <c r="C27" i="1"/>
  <c r="O27" i="1" s="1"/>
  <c r="J27" i="1"/>
  <c r="A28" i="1"/>
  <c r="V27" i="1"/>
  <c r="Y27" i="1" s="1"/>
  <c r="H27" i="1"/>
  <c r="I27" i="1"/>
  <c r="F27" i="1"/>
  <c r="R27" i="1" s="1"/>
  <c r="T27" i="1"/>
  <c r="B27" i="1"/>
  <c r="N27" i="1" s="1"/>
  <c r="M27" i="1"/>
  <c r="E27" i="1"/>
  <c r="Q27" i="1" s="1"/>
  <c r="U27" i="1"/>
  <c r="G27" i="1"/>
  <c r="K27" i="1"/>
  <c r="S10" i="1"/>
  <c r="AQ26" i="1"/>
  <c r="AO18" i="1"/>
  <c r="N18" i="1"/>
  <c r="Q26" i="1"/>
  <c r="L11" i="1"/>
  <c r="D11" i="1"/>
  <c r="P11" i="1" s="1"/>
  <c r="C11" i="1"/>
  <c r="J11" i="1"/>
  <c r="I11" i="1"/>
  <c r="H11" i="1"/>
  <c r="V11" i="1"/>
  <c r="Y11" i="1" s="1"/>
  <c r="U11" i="1"/>
  <c r="K11" i="1"/>
  <c r="F11" i="1"/>
  <c r="M11" i="1"/>
  <c r="E11" i="1"/>
  <c r="T11" i="1"/>
  <c r="G11" i="1"/>
  <c r="S11" i="1" s="1"/>
  <c r="B11" i="1"/>
  <c r="N11" i="1" s="1"/>
  <c r="AQ18" i="1"/>
  <c r="Q10" i="1"/>
  <c r="R11" i="1" l="1"/>
  <c r="S27" i="1"/>
  <c r="AO19" i="1"/>
  <c r="V28" i="1"/>
  <c r="Y28" i="1" s="1"/>
  <c r="L28" i="1"/>
  <c r="D28" i="1"/>
  <c r="J28" i="1"/>
  <c r="C28" i="1"/>
  <c r="O28" i="1" s="1"/>
  <c r="A29" i="1"/>
  <c r="I28" i="1"/>
  <c r="H28" i="1"/>
  <c r="G28" i="1"/>
  <c r="S28" i="1" s="1"/>
  <c r="B28" i="1"/>
  <c r="N28" i="1" s="1"/>
  <c r="T28" i="1"/>
  <c r="U28" i="1"/>
  <c r="K28" i="1"/>
  <c r="M28" i="1"/>
  <c r="E28" i="1"/>
  <c r="F28" i="1"/>
  <c r="AC28" i="1"/>
  <c r="Z29" i="1"/>
  <c r="AK28" i="1"/>
  <c r="AG28" i="1"/>
  <c r="AI28" i="1"/>
  <c r="AB28" i="1"/>
  <c r="AH28" i="1"/>
  <c r="AD28" i="1"/>
  <c r="AP28" i="1" s="1"/>
  <c r="AF28" i="1"/>
  <c r="AR28" i="1" s="1"/>
  <c r="AE28" i="1"/>
  <c r="AQ28" i="1" s="1"/>
  <c r="AA28" i="1"/>
  <c r="AM28" i="1" s="1"/>
  <c r="AT28" i="1"/>
  <c r="AS28" i="1"/>
  <c r="AL28" i="1"/>
  <c r="AJ28" i="1"/>
  <c r="AN19" i="1"/>
  <c r="P27" i="1"/>
  <c r="P19" i="1"/>
  <c r="Q11" i="1"/>
  <c r="Q19" i="1"/>
  <c r="AP27" i="1"/>
  <c r="AN27" i="1"/>
  <c r="AQ19" i="1"/>
  <c r="O11" i="1"/>
  <c r="AP19" i="1"/>
  <c r="P28" i="1" l="1"/>
  <c r="Z30" i="1"/>
  <c r="AC29" i="1"/>
  <c r="AK29" i="1"/>
  <c r="AB29" i="1"/>
  <c r="AI29" i="1"/>
  <c r="AH29" i="1"/>
  <c r="AG29" i="1"/>
  <c r="AD29" i="1"/>
  <c r="AA29" i="1"/>
  <c r="AJ29" i="1"/>
  <c r="AT29" i="1"/>
  <c r="AF29" i="1"/>
  <c r="AL29" i="1"/>
  <c r="AS29" i="1"/>
  <c r="AE29" i="1"/>
  <c r="AQ29" i="1" s="1"/>
  <c r="AO28" i="1"/>
  <c r="R28" i="1"/>
  <c r="Q28" i="1"/>
  <c r="AN28" i="1"/>
  <c r="H29" i="1"/>
  <c r="V29" i="1"/>
  <c r="Y29" i="1" s="1"/>
  <c r="D29" i="1"/>
  <c r="P29" i="1" s="1"/>
  <c r="L29" i="1"/>
  <c r="C29" i="1"/>
  <c r="A30" i="1"/>
  <c r="J29" i="1"/>
  <c r="I29" i="1"/>
  <c r="K29" i="1"/>
  <c r="T29" i="1"/>
  <c r="B29" i="1"/>
  <c r="N29" i="1" s="1"/>
  <c r="U29" i="1"/>
  <c r="E29" i="1"/>
  <c r="M29" i="1"/>
  <c r="G29" i="1"/>
  <c r="S29" i="1" s="1"/>
  <c r="F29" i="1"/>
  <c r="R29" i="1" l="1"/>
  <c r="AO29" i="1"/>
  <c r="AR29" i="1"/>
  <c r="J30" i="1"/>
  <c r="V30" i="1"/>
  <c r="Y30" i="1" s="1"/>
  <c r="D30" i="1"/>
  <c r="P30" i="1" s="1"/>
  <c r="L30" i="1"/>
  <c r="C30" i="1"/>
  <c r="O30" i="1" s="1"/>
  <c r="A31" i="1"/>
  <c r="H30" i="1"/>
  <c r="I30" i="1"/>
  <c r="B30" i="1"/>
  <c r="N30" i="1" s="1"/>
  <c r="U30" i="1"/>
  <c r="G30" i="1"/>
  <c r="M30" i="1"/>
  <c r="E30" i="1"/>
  <c r="Q30" i="1" s="1"/>
  <c r="F30" i="1"/>
  <c r="K30" i="1"/>
  <c r="T30" i="1"/>
  <c r="AM29" i="1"/>
  <c r="AH30" i="1"/>
  <c r="AC30" i="1"/>
  <c r="AK30" i="1"/>
  <c r="AI30" i="1"/>
  <c r="Z31" i="1"/>
  <c r="AG30" i="1"/>
  <c r="AB30" i="1"/>
  <c r="AF30" i="1"/>
  <c r="AJ30" i="1"/>
  <c r="AS30" i="1"/>
  <c r="AT30" i="1"/>
  <c r="AL30" i="1"/>
  <c r="AE30" i="1"/>
  <c r="AD30" i="1"/>
  <c r="AA30" i="1"/>
  <c r="AM30" i="1" s="1"/>
  <c r="AN29" i="1"/>
  <c r="Q29" i="1"/>
  <c r="O29" i="1"/>
  <c r="AP29" i="1"/>
  <c r="AR30" i="1" l="1"/>
  <c r="AN30" i="1"/>
  <c r="S30" i="1"/>
  <c r="AP30" i="1"/>
  <c r="AO30" i="1"/>
  <c r="AQ30" i="1"/>
  <c r="AB31" i="1"/>
  <c r="AN31" i="1" s="1"/>
  <c r="AC31" i="1"/>
  <c r="AO31" i="1" s="1"/>
  <c r="AI31" i="1"/>
  <c r="AH31" i="1"/>
  <c r="AG31" i="1"/>
  <c r="AK31" i="1"/>
  <c r="Z32" i="1"/>
  <c r="AT31" i="1"/>
  <c r="AF31" i="1"/>
  <c r="AL31" i="1"/>
  <c r="AA31" i="1"/>
  <c r="AJ31" i="1"/>
  <c r="AE31" i="1"/>
  <c r="AS31" i="1"/>
  <c r="AD31" i="1"/>
  <c r="AP31" i="1" s="1"/>
  <c r="R30" i="1"/>
  <c r="L31" i="1"/>
  <c r="D31" i="1"/>
  <c r="P31" i="1" s="1"/>
  <c r="V31" i="1"/>
  <c r="Y31" i="1" s="1"/>
  <c r="C31" i="1"/>
  <c r="A32" i="1"/>
  <c r="J31" i="1"/>
  <c r="I31" i="1"/>
  <c r="H31" i="1"/>
  <c r="B31" i="1"/>
  <c r="N31" i="1" s="1"/>
  <c r="G31" i="1"/>
  <c r="S31" i="1" s="1"/>
  <c r="F31" i="1"/>
  <c r="M31" i="1"/>
  <c r="E31" i="1"/>
  <c r="T31" i="1"/>
  <c r="U31" i="1"/>
  <c r="K31" i="1"/>
  <c r="Q31" i="1" l="1"/>
  <c r="V32" i="1"/>
  <c r="Y32" i="1" s="1"/>
  <c r="L32" i="1"/>
  <c r="C32" i="1"/>
  <c r="O32" i="1" s="1"/>
  <c r="A33" i="1"/>
  <c r="J32" i="1"/>
  <c r="D32" i="1"/>
  <c r="P32" i="1" s="1"/>
  <c r="H32" i="1"/>
  <c r="I32" i="1"/>
  <c r="G32" i="1"/>
  <c r="U32" i="1"/>
  <c r="K32" i="1"/>
  <c r="B32" i="1"/>
  <c r="M32" i="1"/>
  <c r="E32" i="1"/>
  <c r="Q32" i="1" s="1"/>
  <c r="T32" i="1"/>
  <c r="F32" i="1"/>
  <c r="AQ31" i="1"/>
  <c r="AR31" i="1"/>
  <c r="O31" i="1"/>
  <c r="AC32" i="1"/>
  <c r="AO32" i="1" s="1"/>
  <c r="AK32" i="1"/>
  <c r="AB32" i="1"/>
  <c r="AH32" i="1"/>
  <c r="AG32" i="1"/>
  <c r="Z33" i="1"/>
  <c r="AI32" i="1"/>
  <c r="AF32" i="1"/>
  <c r="AT32" i="1"/>
  <c r="AL32" i="1"/>
  <c r="AD32" i="1"/>
  <c r="AP32" i="1" s="1"/>
  <c r="AS32" i="1"/>
  <c r="AE32" i="1"/>
  <c r="AJ32" i="1"/>
  <c r="AA32" i="1"/>
  <c r="AM32" i="1" s="1"/>
  <c r="R31" i="1"/>
  <c r="AM31" i="1"/>
  <c r="H33" i="1" l="1"/>
  <c r="L33" i="1"/>
  <c r="C33" i="1"/>
  <c r="A34" i="1"/>
  <c r="J33" i="1"/>
  <c r="D33" i="1"/>
  <c r="P33" i="1" s="1"/>
  <c r="V33" i="1"/>
  <c r="Y33" i="1" s="1"/>
  <c r="I33" i="1"/>
  <c r="G33" i="1"/>
  <c r="E33" i="1"/>
  <c r="U33" i="1"/>
  <c r="K33" i="1"/>
  <c r="F33" i="1"/>
  <c r="R33" i="1" s="1"/>
  <c r="T33" i="1"/>
  <c r="M33" i="1"/>
  <c r="B33" i="1"/>
  <c r="N33" i="1" s="1"/>
  <c r="AR32" i="1"/>
  <c r="Z34" i="1"/>
  <c r="AC33" i="1"/>
  <c r="AK33" i="1"/>
  <c r="AB33" i="1"/>
  <c r="AG33" i="1"/>
  <c r="AI33" i="1"/>
  <c r="AH33" i="1"/>
  <c r="AF33" i="1"/>
  <c r="AE33" i="1"/>
  <c r="AT33" i="1"/>
  <c r="AD33" i="1"/>
  <c r="AS33" i="1"/>
  <c r="AL33" i="1"/>
  <c r="AJ33" i="1"/>
  <c r="AA33" i="1"/>
  <c r="AM33" i="1" s="1"/>
  <c r="S32" i="1"/>
  <c r="AN32" i="1"/>
  <c r="N32" i="1"/>
  <c r="AQ32" i="1"/>
  <c r="R32" i="1"/>
  <c r="AP33" i="1" l="1"/>
  <c r="AO33" i="1"/>
  <c r="O33" i="1"/>
  <c r="AQ33" i="1"/>
  <c r="AH34" i="1"/>
  <c r="AC34" i="1"/>
  <c r="AO34" i="1" s="1"/>
  <c r="AK34" i="1"/>
  <c r="AB34" i="1"/>
  <c r="AN34" i="1" s="1"/>
  <c r="Z35" i="1"/>
  <c r="AG34" i="1"/>
  <c r="AI34" i="1"/>
  <c r="AS34" i="1"/>
  <c r="AA34" i="1"/>
  <c r="AM34" i="1" s="1"/>
  <c r="AT34" i="1"/>
  <c r="AD34" i="1"/>
  <c r="AJ34" i="1"/>
  <c r="AL34" i="1"/>
  <c r="AE34" i="1"/>
  <c r="AF34" i="1"/>
  <c r="AR34" i="1" s="1"/>
  <c r="Q33" i="1"/>
  <c r="AN33" i="1"/>
  <c r="J34" i="1"/>
  <c r="L34" i="1"/>
  <c r="C34" i="1"/>
  <c r="O34" i="1" s="1"/>
  <c r="A35" i="1"/>
  <c r="I34" i="1"/>
  <c r="H34" i="1"/>
  <c r="V34" i="1"/>
  <c r="Y34" i="1" s="1"/>
  <c r="D34" i="1"/>
  <c r="U34" i="1"/>
  <c r="K34" i="1"/>
  <c r="E34" i="1"/>
  <c r="Q34" i="1" s="1"/>
  <c r="F34" i="1"/>
  <c r="M34" i="1"/>
  <c r="T34" i="1"/>
  <c r="B34" i="1"/>
  <c r="N34" i="1" s="1"/>
  <c r="G34" i="1"/>
  <c r="S34" i="1" s="1"/>
  <c r="AR33" i="1"/>
  <c r="S33" i="1"/>
  <c r="P34" i="1" l="1"/>
  <c r="AQ34" i="1"/>
  <c r="AP34" i="1"/>
  <c r="R34" i="1"/>
  <c r="L35" i="1"/>
  <c r="D35" i="1"/>
  <c r="A36" i="1"/>
  <c r="J35" i="1"/>
  <c r="I35" i="1"/>
  <c r="H35" i="1"/>
  <c r="C35" i="1"/>
  <c r="O35" i="1" s="1"/>
  <c r="V35" i="1"/>
  <c r="Y35" i="1" s="1"/>
  <c r="F35" i="1"/>
  <c r="R35" i="1" s="1"/>
  <c r="E35" i="1"/>
  <c r="Q35" i="1" s="1"/>
  <c r="G35" i="1"/>
  <c r="S35" i="1" s="1"/>
  <c r="T35" i="1"/>
  <c r="U35" i="1"/>
  <c r="K35" i="1"/>
  <c r="B35" i="1"/>
  <c r="N35" i="1" s="1"/>
  <c r="M35" i="1"/>
  <c r="AB35" i="1"/>
  <c r="AN35" i="1" s="1"/>
  <c r="AC35" i="1"/>
  <c r="AK35" i="1"/>
  <c r="AI35" i="1"/>
  <c r="AH35" i="1"/>
  <c r="AG35" i="1"/>
  <c r="Z36" i="1"/>
  <c r="AE35" i="1"/>
  <c r="AA35" i="1"/>
  <c r="AM35" i="1" s="1"/>
  <c r="AD35" i="1"/>
  <c r="AP35" i="1" s="1"/>
  <c r="AL35" i="1"/>
  <c r="AF35" i="1"/>
  <c r="AR35" i="1" s="1"/>
  <c r="AS35" i="1"/>
  <c r="AJ35" i="1"/>
  <c r="AT35" i="1"/>
  <c r="P35" i="1" l="1"/>
  <c r="AQ35" i="1"/>
  <c r="AO35" i="1"/>
  <c r="V36" i="1"/>
  <c r="Y36" i="1" s="1"/>
  <c r="A37" i="1"/>
  <c r="J36" i="1"/>
  <c r="I36" i="1"/>
  <c r="L36" i="1"/>
  <c r="H36" i="1"/>
  <c r="D36" i="1"/>
  <c r="C36" i="1"/>
  <c r="M36" i="1"/>
  <c r="U36" i="1"/>
  <c r="E36" i="1"/>
  <c r="G36" i="1"/>
  <c r="S36" i="1" s="1"/>
  <c r="K36" i="1"/>
  <c r="B36" i="1"/>
  <c r="N36" i="1" s="1"/>
  <c r="F36" i="1"/>
  <c r="T36" i="1"/>
  <c r="Z37" i="1"/>
  <c r="AC36" i="1"/>
  <c r="AK36" i="1"/>
  <c r="AB36" i="1"/>
  <c r="AN36" i="1" s="1"/>
  <c r="AI36" i="1"/>
  <c r="AH36" i="1"/>
  <c r="AG36" i="1"/>
  <c r="AF36" i="1"/>
  <c r="AS36" i="1"/>
  <c r="AT36" i="1"/>
  <c r="AE36" i="1"/>
  <c r="AQ36" i="1" s="1"/>
  <c r="AL36" i="1"/>
  <c r="AJ36" i="1"/>
  <c r="AD36" i="1"/>
  <c r="AA36" i="1"/>
  <c r="AM36" i="1" s="1"/>
  <c r="H37" i="1" l="1"/>
  <c r="J37" i="1"/>
  <c r="C37" i="1"/>
  <c r="V37" i="1"/>
  <c r="Y37" i="1" s="1"/>
  <c r="L37" i="1"/>
  <c r="I37" i="1"/>
  <c r="D37" i="1"/>
  <c r="P37" i="1" s="1"/>
  <c r="A38" i="1"/>
  <c r="F37" i="1"/>
  <c r="E37" i="1"/>
  <c r="M37" i="1"/>
  <c r="T37" i="1"/>
  <c r="B37" i="1"/>
  <c r="N37" i="1" s="1"/>
  <c r="U37" i="1"/>
  <c r="K37" i="1"/>
  <c r="G37" i="1"/>
  <c r="S37" i="1" s="1"/>
  <c r="AR36" i="1"/>
  <c r="O36" i="1"/>
  <c r="AO36" i="1"/>
  <c r="Z38" i="1"/>
  <c r="AH37" i="1"/>
  <c r="AI37" i="1"/>
  <c r="AG37" i="1"/>
  <c r="AB37" i="1"/>
  <c r="AN37" i="1" s="1"/>
  <c r="AC37" i="1"/>
  <c r="AK37" i="1"/>
  <c r="AJ37" i="1"/>
  <c r="AS37" i="1"/>
  <c r="AF37" i="1"/>
  <c r="AR37" i="1" s="1"/>
  <c r="AT37" i="1"/>
  <c r="AD37" i="1"/>
  <c r="AP37" i="1" s="1"/>
  <c r="AE37" i="1"/>
  <c r="AQ37" i="1" s="1"/>
  <c r="AL37" i="1"/>
  <c r="AA37" i="1"/>
  <c r="R36" i="1"/>
  <c r="P36" i="1"/>
  <c r="Q36" i="1"/>
  <c r="AP36" i="1"/>
  <c r="O37" i="1" l="1"/>
  <c r="J38" i="1"/>
  <c r="L38" i="1"/>
  <c r="D38" i="1"/>
  <c r="P38" i="1" s="1"/>
  <c r="I38" i="1"/>
  <c r="H38" i="1"/>
  <c r="A39" i="1"/>
  <c r="V38" i="1"/>
  <c r="Y38" i="1" s="1"/>
  <c r="C38" i="1"/>
  <c r="U38" i="1"/>
  <c r="E38" i="1"/>
  <c r="K38" i="1"/>
  <c r="B38" i="1"/>
  <c r="G38" i="1"/>
  <c r="T38" i="1"/>
  <c r="M38" i="1"/>
  <c r="F38" i="1"/>
  <c r="AH38" i="1"/>
  <c r="AB38" i="1"/>
  <c r="AN38" i="1" s="1"/>
  <c r="Z39" i="1"/>
  <c r="AC38" i="1"/>
  <c r="AG38" i="1"/>
  <c r="AK38" i="1"/>
  <c r="AI38" i="1"/>
  <c r="AE38" i="1"/>
  <c r="AS38" i="1"/>
  <c r="AL38" i="1"/>
  <c r="AD38" i="1"/>
  <c r="AJ38" i="1"/>
  <c r="AT38" i="1"/>
  <c r="AF38" i="1"/>
  <c r="AR38" i="1" s="1"/>
  <c r="AA38" i="1"/>
  <c r="AM38" i="1" s="1"/>
  <c r="AM37" i="1"/>
  <c r="Q37" i="1"/>
  <c r="AO37" i="1"/>
  <c r="R37" i="1"/>
  <c r="L39" i="1" l="1"/>
  <c r="D39" i="1"/>
  <c r="P39" i="1" s="1"/>
  <c r="V39" i="1"/>
  <c r="Y39" i="1" s="1"/>
  <c r="A40" i="1"/>
  <c r="C39" i="1"/>
  <c r="I39" i="1"/>
  <c r="H39" i="1"/>
  <c r="K39" i="1"/>
  <c r="J39" i="1"/>
  <c r="M39" i="1"/>
  <c r="E39" i="1"/>
  <c r="F39" i="1"/>
  <c r="R39" i="1" s="1"/>
  <c r="T39" i="1"/>
  <c r="U39" i="1"/>
  <c r="B39" i="1"/>
  <c r="N39" i="1" s="1"/>
  <c r="G39" i="1"/>
  <c r="S39" i="1" s="1"/>
  <c r="AB39" i="1"/>
  <c r="AK39" i="1"/>
  <c r="AI39" i="1"/>
  <c r="Z40" i="1"/>
  <c r="AH39" i="1"/>
  <c r="AG39" i="1"/>
  <c r="AC39" i="1"/>
  <c r="AO39" i="1" s="1"/>
  <c r="AF39" i="1"/>
  <c r="AR39" i="1" s="1"/>
  <c r="AE39" i="1"/>
  <c r="AJ39" i="1"/>
  <c r="AT39" i="1"/>
  <c r="AS39" i="1"/>
  <c r="AL39" i="1"/>
  <c r="AD39" i="1"/>
  <c r="AP39" i="1" s="1"/>
  <c r="AA39" i="1"/>
  <c r="AM39" i="1" s="1"/>
  <c r="Q38" i="1"/>
  <c r="S38" i="1"/>
  <c r="AO38" i="1"/>
  <c r="AP38" i="1"/>
  <c r="N38" i="1"/>
  <c r="AQ38" i="1"/>
  <c r="R38" i="1"/>
  <c r="O38" i="1"/>
  <c r="O39" i="1" l="1"/>
  <c r="Q39" i="1"/>
  <c r="Z41" i="1"/>
  <c r="AI40" i="1"/>
  <c r="AH40" i="1"/>
  <c r="AG40" i="1"/>
  <c r="AC40" i="1"/>
  <c r="AO40" i="1" s="1"/>
  <c r="AK40" i="1"/>
  <c r="AB40" i="1"/>
  <c r="AL40" i="1"/>
  <c r="AE40" i="1"/>
  <c r="AD40" i="1"/>
  <c r="AF40" i="1"/>
  <c r="AR40" i="1" s="1"/>
  <c r="AS40" i="1"/>
  <c r="AA40" i="1"/>
  <c r="AM40" i="1" s="1"/>
  <c r="AJ40" i="1"/>
  <c r="AT40" i="1"/>
  <c r="V40" i="1"/>
  <c r="Y40" i="1" s="1"/>
  <c r="H40" i="1"/>
  <c r="C40" i="1"/>
  <c r="L40" i="1"/>
  <c r="I40" i="1"/>
  <c r="D40" i="1"/>
  <c r="J40" i="1"/>
  <c r="A41" i="1"/>
  <c r="F40" i="1"/>
  <c r="U40" i="1"/>
  <c r="K40" i="1"/>
  <c r="T40" i="1"/>
  <c r="G40" i="1"/>
  <c r="M40" i="1"/>
  <c r="E40" i="1"/>
  <c r="Q40" i="1" s="1"/>
  <c r="B40" i="1"/>
  <c r="AQ39" i="1"/>
  <c r="AN39" i="1"/>
  <c r="P40" i="1" l="1"/>
  <c r="S40" i="1"/>
  <c r="AP40" i="1"/>
  <c r="AQ40" i="1"/>
  <c r="AH41" i="1"/>
  <c r="AC41" i="1"/>
  <c r="AO41" i="1" s="1"/>
  <c r="AG41" i="1"/>
  <c r="AB41" i="1"/>
  <c r="AN41" i="1" s="1"/>
  <c r="AK41" i="1"/>
  <c r="AI41" i="1"/>
  <c r="AL41" i="1"/>
  <c r="AS41" i="1"/>
  <c r="AD41" i="1"/>
  <c r="AJ41" i="1"/>
  <c r="AA41" i="1"/>
  <c r="AM41" i="1" s="1"/>
  <c r="AT41" i="1"/>
  <c r="AF41" i="1"/>
  <c r="AE41" i="1"/>
  <c r="AQ41" i="1" s="1"/>
  <c r="R40" i="1"/>
  <c r="O40" i="1"/>
  <c r="N40" i="1"/>
  <c r="H41" i="1"/>
  <c r="J41" i="1"/>
  <c r="I41" i="1"/>
  <c r="L41" i="1"/>
  <c r="C41" i="1"/>
  <c r="D41" i="1"/>
  <c r="V41" i="1"/>
  <c r="Y41" i="1" s="1"/>
  <c r="E41" i="1"/>
  <c r="Q41" i="1" s="1"/>
  <c r="B41" i="1"/>
  <c r="N41" i="1" s="1"/>
  <c r="G41" i="1"/>
  <c r="S41" i="1" s="1"/>
  <c r="T41" i="1"/>
  <c r="U41" i="1"/>
  <c r="M41" i="1"/>
  <c r="F41" i="1"/>
  <c r="R41" i="1" s="1"/>
  <c r="K41" i="1"/>
  <c r="AN40" i="1"/>
  <c r="P41" i="1" l="1"/>
  <c r="AP41" i="1"/>
  <c r="O41" i="1"/>
  <c r="AR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Grant Belford</author>
  </authors>
  <commentList>
    <comment ref="H1" authorId="0" shapeId="0" xr:uid="{BBBC5DBC-DCA8-E14C-90DB-5775C035F3E6}">
      <text>
        <r>
          <rPr>
            <sz val="10"/>
            <color rgb="FF000000"/>
            <rFont val="Tahoma"/>
            <family val="2"/>
          </rPr>
          <t xml:space="preserve">Expected Pool APY%
</t>
        </r>
      </text>
    </comment>
    <comment ref="J1" authorId="0" shapeId="0" xr:uid="{7561DDAD-9811-8446-9C55-9C27C6E286A2}">
      <text>
        <r>
          <rPr>
            <b/>
            <sz val="13"/>
            <color rgb="FF000000"/>
            <rFont val="Tahoma"/>
            <family val="2"/>
          </rPr>
          <t xml:space="preserve">LP Pricing &amp; Greeks
</t>
        </r>
        <r>
          <rPr>
            <sz val="13"/>
            <color rgb="FF000000"/>
            <rFont val="Tahoma"/>
            <family val="2"/>
          </rPr>
          <t xml:space="preserve">DEX LPers can withdraw liquidity at any time by redeeming LP tokens
</t>
        </r>
        <r>
          <rPr>
            <sz val="13"/>
            <color rgb="FF000000"/>
            <rFont val="Tahoma"/>
            <family val="2"/>
          </rPr>
          <t xml:space="preserve">In this case, </t>
        </r>
        <r>
          <rPr>
            <b/>
            <sz val="13"/>
            <color rgb="FF000000"/>
            <rFont val="Tahoma"/>
            <family val="2"/>
          </rPr>
          <t xml:space="preserve">LP Position price </t>
        </r>
        <r>
          <rPr>
            <sz val="13"/>
            <color rgb="FF000000"/>
            <rFont val="Tahoma"/>
            <family val="2"/>
          </rPr>
          <t xml:space="preserve">= Underlying Assets Value + Fees
</t>
        </r>
        <r>
          <rPr>
            <sz val="13"/>
            <color rgb="FF000000"/>
            <rFont val="Tahoma"/>
            <family val="2"/>
          </rPr>
          <t xml:space="preserve">
</t>
        </r>
        <r>
          <rPr>
            <sz val="13"/>
            <color rgb="FF000000"/>
            <rFont val="Tahoma"/>
            <family val="2"/>
          </rPr>
          <t xml:space="preserve">
</t>
        </r>
        <r>
          <rPr>
            <b/>
            <sz val="13"/>
            <color rgb="FF000000"/>
            <rFont val="Tahoma"/>
            <family val="2"/>
          </rPr>
          <t xml:space="preserve">Unlocked liquidity has 
</t>
        </r>
        <r>
          <rPr>
            <sz val="13"/>
            <color rgb="FF000000"/>
            <rFont val="Tahoma"/>
            <family val="2"/>
          </rPr>
          <t xml:space="preserve">+ Delta
</t>
        </r>
        <r>
          <rPr>
            <sz val="13"/>
            <color rgb="FF000000"/>
            <rFont val="Tahoma"/>
            <family val="2"/>
          </rPr>
          <t xml:space="preserve">- Gamma
</t>
        </r>
        <r>
          <rPr>
            <sz val="13"/>
            <color rgb="FF000000"/>
            <rFont val="Tahoma"/>
            <family val="2"/>
          </rPr>
          <t xml:space="preserve">+ Theta
</t>
        </r>
        <r>
          <rPr>
            <sz val="13"/>
            <color rgb="FF000000"/>
            <rFont val="Tahoma"/>
            <family val="2"/>
          </rPr>
          <t xml:space="preserve">Vega exposure 0
</t>
        </r>
        <r>
          <rPr>
            <sz val="13"/>
            <color rgb="FF000000"/>
            <rFont val="Tahoma"/>
            <family val="2"/>
          </rPr>
          <t>Important when options are used to hedge the position - options do have vega exposure so unlocked LP Portfolio + long options position always has +vega.</t>
        </r>
      </text>
    </comment>
    <comment ref="K1" authorId="0" shapeId="0" xr:uid="{73A79C9D-52CC-0948-BE0B-7D563C5C139F}">
      <text>
        <r>
          <rPr>
            <b/>
            <sz val="13"/>
            <color rgb="FF000000"/>
            <rFont val="Arial"/>
            <family val="34"/>
          </rPr>
          <t xml:space="preserve">pdf. Liquidity Providers Greeks &amp; IG (Impermanent Gain)
</t>
        </r>
        <r>
          <rPr>
            <sz val="13"/>
            <color rgb="FF000000"/>
            <rFont val="Arial"/>
            <family val="34"/>
          </rPr>
          <t xml:space="preserve">N. Bardoscia, A. Nodari. Feb23
</t>
        </r>
        <r>
          <rPr>
            <sz val="13"/>
            <color rgb="FF000000"/>
            <rFont val="Arial"/>
            <family val="34"/>
          </rPr>
          <t xml:space="preserve">0Sami_, Barry Fried - draft
</t>
        </r>
        <r>
          <rPr>
            <sz val="13"/>
            <color rgb="FF000000"/>
            <rFont val="Arial"/>
            <family val="34"/>
          </rPr>
          <t xml:space="preserve">
</t>
        </r>
        <r>
          <rPr>
            <sz val="13"/>
            <color rgb="FF000000"/>
            <rFont val="Arial"/>
            <family val="34"/>
          </rPr>
          <t xml:space="preserve">* BS Model
</t>
        </r>
        <r>
          <rPr>
            <sz val="13"/>
            <color rgb="FF000000"/>
            <rFont val="Arial"/>
            <family val="34"/>
          </rPr>
          <t xml:space="preserve">* DeFi &amp; constant product AMMs, LPers playing role in mkt functioning but exposed to </t>
        </r>
        <r>
          <rPr>
            <b/>
            <sz val="13"/>
            <color rgb="FF000000"/>
            <rFont val="Arial"/>
            <family val="34"/>
          </rPr>
          <t xml:space="preserve">IL risk
</t>
        </r>
        <r>
          <rPr>
            <sz val="13"/>
            <color rgb="FF000000"/>
            <rFont val="Arial"/>
            <family val="34"/>
          </rPr>
          <t xml:space="preserve">* 1. Paper tailors BS Model formulas to DeFi - to calc LP greeks
</t>
        </r>
        <r>
          <rPr>
            <sz val="13"/>
            <color rgb="FF000000"/>
            <rFont val="Arial"/>
            <family val="34"/>
          </rPr>
          <t xml:space="preserve">* 2. Paper intro </t>
        </r>
        <r>
          <rPr>
            <b/>
            <sz val="13"/>
            <color rgb="FF000000"/>
            <rFont val="Arial"/>
            <family val="34"/>
          </rPr>
          <t>IG</t>
        </r>
        <r>
          <rPr>
            <sz val="13"/>
            <color rgb="FF000000"/>
            <rFont val="Arial"/>
            <family val="34"/>
          </rPr>
          <t xml:space="preserve">, a product LPs can use to </t>
        </r>
        <r>
          <rPr>
            <b/>
            <sz val="13"/>
            <color rgb="FF000000"/>
            <rFont val="Arial"/>
            <family val="34"/>
          </rPr>
          <t xml:space="preserve">hedge position </t>
        </r>
        <r>
          <rPr>
            <sz val="13"/>
            <color rgb="FF000000"/>
            <rFont val="Arial"/>
            <family val="34"/>
          </rPr>
          <t xml:space="preserve">&amp; traders can use to bet in IV rise &amp; benefit from large market moves.
</t>
        </r>
        <r>
          <rPr>
            <sz val="13"/>
            <color rgb="FF000000"/>
            <rFont val="Arial"/>
            <family val="34"/>
          </rPr>
          <t xml:space="preserve">
</t>
        </r>
        <r>
          <rPr>
            <sz val="13"/>
            <color rgb="FF000000"/>
            <rFont val="Arial"/>
            <family val="34"/>
          </rPr>
          <t xml:space="preserve">DEXs simply a set of contracts: 
</t>
        </r>
        <r>
          <rPr>
            <sz val="13"/>
            <color rgb="FF000000"/>
            <rFont val="Arial"/>
            <family val="34"/>
          </rPr>
          <t xml:space="preserve">Establish px of various cryptoccys against each other algo. &amp; use KPs, in which investors lock funds in exchange for % trading fees, in order to facilitate trades. 
</t>
        </r>
        <r>
          <rPr>
            <sz val="13"/>
            <color rgb="FF000000"/>
            <rFont val="Arial"/>
            <family val="34"/>
          </rPr>
          <t xml:space="preserve">While CEX transactions are recorded on that exchange’s internal db, DEX transactions are settled directly on blockchain. 
</t>
        </r>
        <r>
          <rPr>
            <sz val="13"/>
            <color rgb="FF000000"/>
            <rFont val="Arial"/>
            <family val="34"/>
          </rPr>
          <t xml:space="preserve">
</t>
        </r>
        <r>
          <rPr>
            <sz val="13"/>
            <color rgb="FF000000"/>
            <rFont val="Arial"/>
            <family val="34"/>
          </rPr>
          <t xml:space="preserve">DEXs are usually built on open-source code &amp; developers can adapt existing code to create new competing projects.
</t>
        </r>
        <r>
          <rPr>
            <sz val="13"/>
            <color rgb="FF000000"/>
            <rFont val="Arial"/>
            <family val="34"/>
          </rPr>
          <t xml:space="preserve">
</t>
        </r>
        <r>
          <rPr>
            <b/>
            <sz val="13"/>
            <color rgb="FF000000"/>
            <rFont val="Arial"/>
            <family val="34"/>
          </rPr>
          <t xml:space="preserve">IL Risk </t>
        </r>
        <r>
          <rPr>
            <sz val="13"/>
            <color rgb="FF000000"/>
            <rFont val="Arial"/>
            <family val="34"/>
          </rPr>
          <t xml:space="preserve">impact LPs defined as diff between
</t>
        </r>
        <r>
          <rPr>
            <sz val="13"/>
            <color rgb="FF000000"/>
            <rFont val="Arial"/>
            <family val="34"/>
          </rPr>
          <t xml:space="preserve">1/2. Return of a LP &amp;
</t>
        </r>
        <r>
          <rPr>
            <sz val="13"/>
            <color rgb="FF000000"/>
            <rFont val="Arial"/>
            <family val="34"/>
          </rPr>
          <t xml:space="preserve">2/2. Return of equal-weight (wrt starting time) HODLer. 
</t>
        </r>
        <r>
          <rPr>
            <sz val="13"/>
            <color rgb="FF000000"/>
            <rFont val="Arial"/>
            <family val="34"/>
          </rPr>
          <t xml:space="preserve">
</t>
        </r>
        <r>
          <rPr>
            <sz val="13"/>
            <color rgb="FF000000"/>
            <rFont val="Arial"/>
            <family val="34"/>
          </rPr>
          <t>.</t>
        </r>
      </text>
    </comment>
    <comment ref="A2" authorId="0" shapeId="0" xr:uid="{32BE1B4B-190F-DB48-A3B9-BE09B15772FC}">
      <text>
        <r>
          <rPr>
            <sz val="13"/>
            <color rgb="FF000000"/>
            <rFont val="Tahoma"/>
            <family val="2"/>
          </rPr>
          <t xml:space="preserve">Q. How can users plug &amp; play IG around current farming strats?
</t>
        </r>
        <r>
          <rPr>
            <sz val="13"/>
            <color rgb="FF000000"/>
            <rFont val="Tahoma"/>
            <family val="2"/>
          </rPr>
          <t xml:space="preserve">A. (BF) Smilee will "whitelist" various xyk LP pairs when launched.
</t>
        </r>
      </text>
    </comment>
    <comment ref="K2" authorId="0" shapeId="0" xr:uid="{7883CD3C-26FE-0245-909F-0DAD18EC77D4}">
      <text>
        <r>
          <rPr>
            <b/>
            <sz val="13"/>
            <color rgb="FF000000"/>
            <rFont val="Tahoma"/>
            <family val="2"/>
          </rPr>
          <t xml:space="preserve">Locked Liquidity Analysis
</t>
        </r>
        <r>
          <rPr>
            <sz val="13"/>
            <color rgb="FF000000"/>
            <rFont val="Tahoma"/>
            <family val="2"/>
          </rPr>
          <t xml:space="preserve">Now assume LPer has locked liquidity until time T 
</t>
        </r>
        <r>
          <rPr>
            <sz val="13"/>
            <color rgb="FF000000"/>
            <rFont val="Tahoma"/>
            <family val="2"/>
          </rPr>
          <t xml:space="preserve">Reason: access liquidity mining awards
</t>
        </r>
        <r>
          <rPr>
            <sz val="13"/>
            <color rgb="FF000000"/>
            <rFont val="Tahoma"/>
            <family val="2"/>
          </rPr>
          <t xml:space="preserve">Not able to redeem underlying assets until maturity
</t>
        </r>
        <r>
          <rPr>
            <sz val="13"/>
            <color rgb="FF000000"/>
            <rFont val="Tahoma"/>
            <family val="2"/>
          </rPr>
          <t xml:space="preserve">So Position Fair Value may differ from Value (Underlying Assets).
</t>
        </r>
        <r>
          <rPr>
            <sz val="13"/>
            <color rgb="FF000000"/>
            <rFont val="Tahoma"/>
            <family val="2"/>
          </rPr>
          <t xml:space="preserve">
</t>
        </r>
        <r>
          <rPr>
            <sz val="13"/>
            <color rgb="FF000000"/>
            <rFont val="Tahoma"/>
            <family val="2"/>
          </rPr>
          <t xml:space="preserve">Locking liquidity gives exposure to:
</t>
        </r>
        <r>
          <rPr>
            <sz val="13"/>
            <color rgb="FF000000"/>
            <rFont val="Tahoma"/>
            <family val="2"/>
          </rPr>
          <t xml:space="preserve">Delta, Gamma, Theta as well as Vega &amp; Rho
</t>
        </r>
        <r>
          <rPr>
            <sz val="13"/>
            <color rgb="FF000000"/>
            <rFont val="Tahoma"/>
            <family val="2"/>
          </rPr>
          <t xml:space="preserve">
</t>
        </r>
        <r>
          <rPr>
            <sz val="13"/>
            <color rgb="FF000000"/>
            <rFont val="Tahoma"/>
            <family val="2"/>
          </rPr>
          <t xml:space="preserve">-------------
</t>
        </r>
        <r>
          <rPr>
            <sz val="13"/>
            <color rgb="FF000000"/>
            <rFont val="Tahoma"/>
            <family val="2"/>
          </rPr>
          <t xml:space="preserve">1. Similar to BS OPM, assume px processes governed by following SDEs
</t>
        </r>
        <r>
          <rPr>
            <sz val="13"/>
            <color rgb="FF000000"/>
            <rFont val="Tahoma"/>
            <family val="2"/>
          </rPr>
          <t xml:space="preserve">1a. dB x,t  * "Bond" Process relative to token x w/rf rate rx (ex. APY on lending token x on AAVE)
</t>
        </r>
        <r>
          <rPr>
            <sz val="13"/>
            <color rgb="FF000000"/>
            <rFont val="Tahoma"/>
            <family val="2"/>
          </rPr>
          <t xml:space="preserve">1b. dB y,t  * "Bond" Process reatlive to token y w/rf rate ry (ex. APY on lending token y on AAVE)
</t>
        </r>
        <r>
          <rPr>
            <sz val="13"/>
            <color rgb="FF000000"/>
            <rFont val="Tahoma"/>
            <family val="2"/>
          </rPr>
          <t xml:space="preserve">1c. dSt      *  Mkt Px of token x in terms of token y determined by drift, vol &amp; BM Wt
</t>
        </r>
        <r>
          <rPr>
            <sz val="13"/>
            <color rgb="FF000000"/>
            <rFont val="Tahoma"/>
            <family val="2"/>
          </rPr>
          <t xml:space="preserve">Thus px process followings GBM
</t>
        </r>
        <r>
          <rPr>
            <sz val="13"/>
            <color rgb="FF000000"/>
            <rFont val="Tahoma"/>
            <family val="2"/>
          </rPr>
          <t xml:space="preserve">
</t>
        </r>
      </text>
    </comment>
    <comment ref="B4" authorId="0" shapeId="0" xr:uid="{7FFD81D5-118A-E945-A2E2-2CB8E8D85C89}">
      <text>
        <r>
          <rPr>
            <b/>
            <sz val="13"/>
            <color rgb="FF000000"/>
            <rFont val="Tahoma"/>
            <family val="2"/>
          </rPr>
          <t>Barry Fried</t>
        </r>
        <r>
          <rPr>
            <sz val="13"/>
            <color rgb="FF000000"/>
            <rFont val="Tahoma"/>
            <family val="2"/>
          </rPr>
          <t xml:space="preserve"> Modelled out @SmileeFinance
</t>
        </r>
        <r>
          <rPr>
            <sz val="13"/>
            <color rgb="FF000000"/>
            <rFont val="Arial"/>
            <family val="2"/>
          </rPr>
          <t xml:space="preserve">“Impermanent Gain” (IG) underlying payoff/pricing (utilizing BSMM assumptions) via gsheet
</t>
        </r>
        <r>
          <rPr>
            <sz val="13"/>
            <color rgb="FF000000"/>
            <rFont val="Arial"/>
            <family val="2"/>
          </rPr>
          <t xml:space="preserve">nb. </t>
        </r>
        <r>
          <rPr>
            <b/>
            <sz val="13"/>
            <color rgb="FF000000"/>
            <rFont val="Arial"/>
            <family val="2"/>
          </rPr>
          <t xml:space="preserve">LP Greeks </t>
        </r>
        <r>
          <rPr>
            <sz val="13"/>
            <color rgb="FF000000"/>
            <rFont val="Arial"/>
            <family val="2"/>
          </rPr>
          <t xml:space="preserve">assume liq is “locked” for duration of </t>
        </r>
        <r>
          <rPr>
            <b/>
            <sz val="13"/>
            <color rgb="FF000000"/>
            <rFont val="Arial"/>
            <family val="2"/>
          </rPr>
          <t xml:space="preserve">effective IG hedge </t>
        </r>
        <r>
          <rPr>
            <sz val="13"/>
            <color rgb="FF000000"/>
            <rFont val="Arial"/>
            <family val="2"/>
          </rPr>
          <t xml:space="preserve">(same maturity), 
</t>
        </r>
        <r>
          <rPr>
            <sz val="13"/>
            <color rgb="FF000000"/>
            <rFont val="Arial"/>
            <family val="2"/>
          </rPr>
          <t xml:space="preserve">thus have similar (inverse!) BSMM assumptions, 
</t>
        </r>
        <r>
          <rPr>
            <sz val="13"/>
            <color rgb="FF000000"/>
            <rFont val="Arial"/>
            <family val="2"/>
          </rPr>
          <t xml:space="preserve">whilst τ (tau) = T (maturity) 
</t>
        </r>
        <r>
          <rPr>
            <sz val="13"/>
            <color rgb="FF000000"/>
            <rFont val="Arial"/>
            <family val="2"/>
          </rPr>
          <t xml:space="preserve">Full mathematical derivation: pdf
</t>
        </r>
        <r>
          <rPr>
            <sz val="13"/>
            <color rgb="FF000000"/>
            <rFont val="Arial"/>
            <family val="2"/>
          </rPr>
          <t xml:space="preserve">
</t>
        </r>
        <r>
          <rPr>
            <b/>
            <sz val="13"/>
            <color rgb="FF000000"/>
            <rFont val="Arial"/>
            <family val="2"/>
          </rPr>
          <t xml:space="preserve">IG: 
</t>
        </r>
        <r>
          <rPr>
            <sz val="13"/>
            <color rgb="FF000000"/>
            <rFont val="Arial"/>
            <family val="2"/>
          </rPr>
          <t xml:space="preserve">* LP exposed to many risks
</t>
        </r>
        <r>
          <rPr>
            <sz val="13"/>
            <color rgb="FF000000"/>
            <rFont val="Arial"/>
            <family val="2"/>
          </rPr>
          <t xml:space="preserve">* easy </t>
        </r>
        <r>
          <rPr>
            <b/>
            <sz val="13"/>
            <color rgb="FF000000"/>
            <rFont val="Arial"/>
            <family val="2"/>
          </rPr>
          <t xml:space="preserve">delta hedge </t>
        </r>
        <r>
          <rPr>
            <sz val="13"/>
            <color rgb="FF000000"/>
            <rFont val="Arial"/>
            <family val="2"/>
          </rPr>
          <t xml:space="preserve">via short futures on underlying S
</t>
        </r>
        <r>
          <rPr>
            <sz val="13"/>
            <color rgb="FF000000"/>
            <rFont val="Arial"/>
            <family val="2"/>
          </rPr>
          <t xml:space="preserve">* Q. Can we structure product that hedges all other greeks (esp. Gamma, Vega, Theta)
</t>
        </r>
        <r>
          <rPr>
            <sz val="13"/>
            <color rgb="FF000000"/>
            <rFont val="Arial"/>
            <family val="2"/>
          </rPr>
          <t xml:space="preserve">* A. Product* IG
</t>
        </r>
        <r>
          <rPr>
            <sz val="13"/>
            <color rgb="FF000000"/>
            <rFont val="Arial"/>
            <family val="2"/>
          </rPr>
          <t xml:space="preserve">* </t>
        </r>
        <r>
          <rPr>
            <b/>
            <sz val="13"/>
            <color rgb="FF000000"/>
            <rFont val="Arial"/>
            <family val="2"/>
          </rPr>
          <t xml:space="preserve">IG Unit Payoff </t>
        </r>
        <r>
          <rPr>
            <sz val="13"/>
            <color rgb="FF000000"/>
            <rFont val="Arial"/>
            <family val="2"/>
          </rPr>
          <t xml:space="preserve">defined as opposite of IL = </t>
        </r>
        <r>
          <rPr>
            <b/>
            <sz val="13"/>
            <color rgb="FF000000"/>
            <rFont val="Arial"/>
            <family val="2"/>
          </rPr>
          <t xml:space="preserve">IG(r) </t>
        </r>
        <r>
          <rPr>
            <sz val="13"/>
            <color rgb="FF000000"/>
            <rFont val="Arial"/>
            <family val="2"/>
          </rPr>
          <t xml:space="preserve">= (VH - VLP) / V0
</t>
        </r>
        <r>
          <rPr>
            <sz val="13"/>
            <color rgb="FF000000"/>
            <rFont val="Arial"/>
            <family val="2"/>
          </rPr>
          <t xml:space="preserve">
</t>
        </r>
        <r>
          <rPr>
            <sz val="13"/>
            <color rgb="FF000000"/>
            <rFont val="Arial"/>
            <family val="2"/>
          </rPr>
          <t xml:space="preserve">* IG similarities w/European options 
</t>
        </r>
        <r>
          <rPr>
            <sz val="13"/>
            <color rgb="FF000000"/>
            <rFont val="Arial"/>
            <family val="2"/>
          </rPr>
          <t xml:space="preserve">- maturity T, 
</t>
        </r>
        <r>
          <rPr>
            <sz val="13"/>
            <color rgb="FF000000"/>
            <rFont val="Arial"/>
            <family val="2"/>
          </rPr>
          <t xml:space="preserve">- K that is Starting Px from which IG is calc'd, rt = St/K - 1 &amp; rt used to calc IG at time t
</t>
        </r>
        <r>
          <rPr>
            <sz val="13"/>
            <color rgb="FF000000"/>
            <rFont val="Arial"/>
            <family val="2"/>
          </rPr>
          <t xml:space="preserve">
</t>
        </r>
        <r>
          <rPr>
            <b/>
            <sz val="13"/>
            <color rgb="FF000000"/>
            <rFont val="Arial"/>
            <family val="2"/>
          </rPr>
          <t xml:space="preserve">IG Payoff </t>
        </r>
        <r>
          <rPr>
            <sz val="13"/>
            <color rgb="FF000000"/>
            <rFont val="Arial"/>
            <family val="2"/>
          </rPr>
          <t xml:space="preserve">w/Maturity T can be coded into a smart contract making it a DeFi-native product
</t>
        </r>
        <r>
          <rPr>
            <sz val="13"/>
            <color rgb="FF000000"/>
            <rFont val="Arial"/>
            <family val="2"/>
          </rPr>
          <t xml:space="preserve">
</t>
        </r>
        <r>
          <rPr>
            <sz val="13"/>
            <color rgb="FF000000"/>
            <rFont val="Arial"/>
            <family val="2"/>
          </rPr>
          <t xml:space="preserve">---------------------------
</t>
        </r>
        <r>
          <rPr>
            <b/>
            <sz val="13"/>
            <color rgb="FF000000"/>
            <rFont val="Arial"/>
            <family val="2"/>
          </rPr>
          <t xml:space="preserve">IG Pricing: 
</t>
        </r>
        <r>
          <rPr>
            <sz val="13"/>
            <color rgb="FF000000"/>
            <rFont val="Arial"/>
            <family val="2"/>
          </rPr>
          <t>Alt1. IG Position Px = cost of going long (</t>
        </r>
        <r>
          <rPr>
            <b/>
            <sz val="13"/>
            <color rgb="FF000000"/>
            <rFont val="Arial"/>
            <family val="2"/>
          </rPr>
          <t xml:space="preserve">Replicating Portfolio: </t>
        </r>
        <r>
          <rPr>
            <sz val="13"/>
            <color rgb="FF000000"/>
            <rFont val="Arial"/>
            <family val="2"/>
          </rPr>
          <t xml:space="preserve">IL replicated by selling infinite strip call/puts)
</t>
        </r>
        <r>
          <rPr>
            <sz val="13"/>
            <color rgb="FF000000"/>
            <rFont val="Arial"/>
            <family val="2"/>
          </rPr>
          <t xml:space="preserve">Alt2. (used). Given dynamic of px process of token x, in terms of token y &amp; using as px for IG position the discounted payoff.
</t>
        </r>
        <r>
          <rPr>
            <sz val="13"/>
            <color rgb="FF000000"/>
            <rFont val="Arial"/>
            <family val="2"/>
          </rPr>
          <t xml:space="preserve">
</t>
        </r>
        <r>
          <rPr>
            <sz val="13"/>
            <color rgb="FF000000"/>
            <rFont val="Arial"/>
            <family val="2"/>
          </rPr>
          <t>Input: Strike K = S0</t>
        </r>
      </text>
    </comment>
    <comment ref="H4" authorId="0" shapeId="0" xr:uid="{CE4BD422-B4FD-E34F-AE6D-0773B79FF397}">
      <text>
        <r>
          <rPr>
            <sz val="13"/>
            <color rgb="FF000000"/>
            <rFont val="Tahoma"/>
            <family val="2"/>
          </rPr>
          <t xml:space="preserve">Can replicate IL by selling infinite strip of calls &amp; puts of all Ks with maturity T
</t>
        </r>
      </text>
    </comment>
    <comment ref="I4" authorId="0" shapeId="0" xr:uid="{F464996F-71CE-5B41-8232-B2A3997DA2F9}">
      <text>
        <r>
          <rPr>
            <b/>
            <sz val="13"/>
            <color rgb="FF000000"/>
            <rFont val="Tahoma"/>
            <family val="2"/>
          </rPr>
          <t xml:space="preserve">LP Delta &gt; 0
</t>
        </r>
        <r>
          <rPr>
            <sz val="13"/>
            <color rgb="FF000000"/>
            <rFont val="Tahoma"/>
            <family val="2"/>
          </rPr>
          <t xml:space="preserve">LP Delta falls when S rises as vice-versa
</t>
        </r>
        <r>
          <rPr>
            <sz val="13"/>
            <color rgb="FF000000"/>
            <rFont val="Tahoma"/>
            <family val="2"/>
          </rPr>
          <t xml:space="preserve">
</t>
        </r>
        <r>
          <rPr>
            <sz val="13"/>
            <color rgb="FF000000"/>
            <rFont val="Arial"/>
            <family val="2"/>
          </rPr>
          <t xml:space="preserve">When setting up a position initially an amount of each asset is provided &amp; usually ratio 50% each. 
</t>
        </r>
        <r>
          <rPr>
            <sz val="13"/>
            <color rgb="FF000000"/>
            <rFont val="Arial"/>
            <family val="2"/>
          </rPr>
          <t xml:space="preserve">LPer thus has w/o any other interaction, a linear risk of 1 asset px changing vs. other asset. 
</t>
        </r>
        <r>
          <rPr>
            <sz val="13"/>
            <color rgb="FF000000"/>
            <rFont val="Arial"/>
            <family val="2"/>
          </rPr>
          <t xml:space="preserve">Delta risk, since Delta in the option market is the rate of change of 1 asset with the change in the other asset. 
</t>
        </r>
        <r>
          <rPr>
            <sz val="13"/>
            <color rgb="FF000000"/>
            <rFont val="Arial"/>
            <family val="2"/>
          </rPr>
          <t xml:space="preserve">Usually the other asset in such case is the base currency ex. USD
</t>
        </r>
        <r>
          <rPr>
            <sz val="13"/>
            <color rgb="FF000000"/>
            <rFont val="Arial"/>
            <family val="2"/>
          </rPr>
          <t xml:space="preserve">When you have a liquidity position you can have 2 assets which are both different to USD, so in practice you have Delta risk on both currencies already. 
</t>
        </r>
        <r>
          <rPr>
            <sz val="13"/>
            <color rgb="FF000000"/>
            <rFont val="Tahoma"/>
            <family val="2"/>
          </rPr>
          <t xml:space="preserve">
</t>
        </r>
      </text>
    </comment>
    <comment ref="J4" authorId="0" shapeId="0" xr:uid="{A48E80BF-92A7-8D48-9925-50620E62192E}">
      <text>
        <r>
          <rPr>
            <sz val="13"/>
            <color rgb="FF000000"/>
            <rFont val="Tahoma"/>
            <family val="2"/>
          </rPr>
          <t xml:space="preserve">LP Gamma &lt; 0
</t>
        </r>
        <r>
          <rPr>
            <sz val="13"/>
            <color rgb="FF000000"/>
            <rFont val="Tahoma"/>
            <family val="2"/>
          </rPr>
          <t xml:space="preserve">
</t>
        </r>
        <r>
          <rPr>
            <sz val="13"/>
            <color rgb="FF000000"/>
            <rFont val="Tahoma"/>
            <family val="2"/>
          </rPr>
          <t xml:space="preserve">LP Gamma -&gt; -infinity when St-&gt;0
</t>
        </r>
      </text>
    </comment>
    <comment ref="K4" authorId="0" shapeId="0" xr:uid="{39DC9C8A-4057-E947-841B-0EC61DD1CA3E}">
      <text>
        <r>
          <rPr>
            <sz val="13"/>
            <color rgb="FF000000"/>
            <rFont val="Tahoma"/>
            <family val="2"/>
          </rPr>
          <t xml:space="preserve">LP Vega &lt; 0
</t>
        </r>
      </text>
    </comment>
    <comment ref="L4" authorId="0" shapeId="0" xr:uid="{1CA70F22-8CAE-C14D-9410-CD432BD07BCF}">
      <text>
        <r>
          <rPr>
            <sz val="13"/>
            <color rgb="FF000000"/>
            <rFont val="Tahoma"/>
            <family val="2"/>
          </rPr>
          <t xml:space="preserve">Here we are calcing daily Theta (ie. Theta/365)
</t>
        </r>
      </text>
    </comment>
    <comment ref="M4" authorId="0" shapeId="0" xr:uid="{9D7C528F-A394-6D4E-BC0E-67AA3A4FA092}">
      <text>
        <r>
          <rPr>
            <sz val="13"/>
            <color rgb="FF000000"/>
            <rFont val="Tahoma"/>
            <family val="2"/>
          </rPr>
          <t xml:space="preserve">Even though have model w/ 2 rf rates
</t>
        </r>
        <r>
          <rPr>
            <sz val="13"/>
            <color rgb="FF000000"/>
            <rFont val="Tahoma"/>
            <family val="2"/>
          </rPr>
          <t xml:space="preserve">nb. Px depends on on their difference rf study the sensitivity wrt rf
</t>
        </r>
        <r>
          <rPr>
            <sz val="13"/>
            <color rgb="FF000000"/>
            <rFont val="Tahoma"/>
            <family val="2"/>
          </rPr>
          <t xml:space="preserve">
</t>
        </r>
        <r>
          <rPr>
            <sz val="13"/>
            <color rgb="FF000000"/>
            <rFont val="Tahoma"/>
            <family val="2"/>
          </rPr>
          <t xml:space="preserve">Here we are showing Rho corresp. to a 1% change of rf, ie. rho/100
</t>
        </r>
      </text>
    </comment>
    <comment ref="O4" authorId="0" shapeId="0" xr:uid="{F0597533-7659-C848-B7F8-2939107B1EF0}">
      <text>
        <r>
          <rPr>
            <sz val="10"/>
            <color rgb="FF000000"/>
            <rFont val="Tahoma"/>
            <family val="2"/>
          </rPr>
          <t>Delta also = V0/2K</t>
        </r>
      </text>
    </comment>
    <comment ref="P4" authorId="0" shapeId="0" xr:uid="{4097CFBE-B8EB-F045-B9BC-9927B83B698C}">
      <text>
        <r>
          <rPr>
            <sz val="10"/>
            <color rgb="FF000000"/>
            <rFont val="Tahoma"/>
            <family val="2"/>
          </rPr>
          <t xml:space="preserve">Doing IG hedge results in Gamma neutral net position
</t>
        </r>
      </text>
    </comment>
    <comment ref="Q4" authorId="0" shapeId="0" xr:uid="{7BA945DB-A323-FB4C-8848-24B82988270C}">
      <text>
        <r>
          <rPr>
            <sz val="10"/>
            <color rgb="FF000000"/>
            <rFont val="Tahoma"/>
            <family val="2"/>
          </rPr>
          <t xml:space="preserve">Doing IG hedge results in Vega neutral net position
</t>
        </r>
      </text>
    </comment>
    <comment ref="R4" authorId="0" shapeId="0" xr:uid="{A40228BE-E567-B748-B156-9440DBF40E52}">
      <text>
        <r>
          <rPr>
            <sz val="10"/>
            <color rgb="FF000000"/>
            <rFont val="Tahoma"/>
            <family val="2"/>
          </rPr>
          <t xml:space="preserve">Now Theta does not depend on St &amp; vol
</t>
        </r>
      </text>
    </comment>
    <comment ref="S4" authorId="0" shapeId="0" xr:uid="{6FCE4BC9-167D-2D4F-B54A-935E361F4059}">
      <text>
        <r>
          <rPr>
            <sz val="10"/>
            <color rgb="FF000000"/>
            <rFont val="Tahoma"/>
            <family val="2"/>
          </rPr>
          <t xml:space="preserve">Now Rho does not depend on St &amp; vol
</t>
        </r>
      </text>
    </comment>
    <comment ref="AR48" authorId="0" shapeId="0" xr:uid="{FD4D36E8-E3BB-5B4C-8442-A514DE255EE8}">
      <text>
        <r>
          <rPr>
            <sz val="10"/>
            <color rgb="FF000000"/>
            <rFont val="Tahoma"/>
            <family val="2"/>
          </rPr>
          <t xml:space="preserve">Seems to ref another sheet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='With respect to no. weeks hedged'$AI$45....
</t>
        </r>
      </text>
    </comment>
  </commentList>
</comments>
</file>

<file path=xl/sharedStrings.xml><?xml version="1.0" encoding="utf-8"?>
<sst xmlns="http://schemas.openxmlformats.org/spreadsheetml/2006/main" count="216" uniqueCount="66">
  <si>
    <t>rf rate</t>
  </si>
  <si>
    <t>vol (σ)</t>
  </si>
  <si>
    <t>LP position val</t>
  </si>
  <si>
    <t>Hedge Length (weeks)</t>
  </si>
  <si>
    <t>tau (remaining time)</t>
  </si>
  <si>
    <t>Px @ t0, or the strike (s₀)</t>
  </si>
  <si>
    <t>Invariant</t>
  </si>
  <si>
    <t>LP fee revs</t>
  </si>
  <si>
    <t>LP maturity time</t>
  </si>
  <si>
    <t>rfr</t>
  </si>
  <si>
    <t>tau</t>
  </si>
  <si>
    <t>s₀</t>
  </si>
  <si>
    <t>volatility (σ)</t>
  </si>
  <si>
    <t>Vol 50%</t>
  </si>
  <si>
    <t>Vol 100%</t>
  </si>
  <si>
    <t>Vol 150%</t>
  </si>
  <si>
    <t>Vol 200%</t>
  </si>
  <si>
    <t>IG as Hedging Tool: buying IG completely eliminates Gamma &amp; Vega risks &amp; reduces Theta &amp; Rho</t>
  </si>
  <si>
    <t>IG Payoff - Premium</t>
  </si>
  <si>
    <t>Fair Value of LP Position locked until time T</t>
  </si>
  <si>
    <t>HARDCOATED</t>
  </si>
  <si>
    <t>Price @ time t (s(t))</t>
  </si>
  <si>
    <t>Undlying IG $val</t>
  </si>
  <si>
    <t>IG Delta</t>
  </si>
  <si>
    <t>IG Gamma</t>
  </si>
  <si>
    <t>IG Vega</t>
  </si>
  <si>
    <t>IG Theta</t>
  </si>
  <si>
    <t>IG Rho</t>
  </si>
  <si>
    <t>LP payoff</t>
  </si>
  <si>
    <t>LP Delta</t>
  </si>
  <si>
    <t>LP Gamma</t>
  </si>
  <si>
    <t>LP Vega</t>
  </si>
  <si>
    <t>LP Theta</t>
  </si>
  <si>
    <t>LP Rho</t>
  </si>
  <si>
    <t>LP+IG Payoff</t>
  </si>
  <si>
    <t>Delta LP+IG</t>
  </si>
  <si>
    <t>Gamma LP+IG</t>
  </si>
  <si>
    <t>Vega LP+IG</t>
  </si>
  <si>
    <t>Theta LP+IG</t>
  </si>
  <si>
    <t>Rho LP+IG</t>
  </si>
  <si>
    <t>IL (w.o IG)</t>
  </si>
  <si>
    <t>Underlying IG $val - fees</t>
  </si>
  <si>
    <t>s(t)</t>
  </si>
  <si>
    <t>underlying IG $val</t>
  </si>
  <si>
    <t>Delta IG</t>
  </si>
  <si>
    <t>Gamma IG</t>
  </si>
  <si>
    <t>Vega IG</t>
  </si>
  <si>
    <t>Theta IG</t>
  </si>
  <si>
    <t>Rho IG</t>
  </si>
  <si>
    <t>Delta LP</t>
  </si>
  <si>
    <t>Gamma LP</t>
  </si>
  <si>
    <t>Vega LP</t>
  </si>
  <si>
    <t>Theta LP</t>
  </si>
  <si>
    <t>Rho LP</t>
  </si>
  <si>
    <t>IG+LP Payoff</t>
  </si>
  <si>
    <t>Delta IG + LP</t>
  </si>
  <si>
    <t>Gamma IG + LP</t>
  </si>
  <si>
    <t>Vega IG + LP</t>
  </si>
  <si>
    <t>Theta IG + IL</t>
  </si>
  <si>
    <t>Rho IG + IL</t>
  </si>
  <si>
    <t>underlying IG $val - fees</t>
  </si>
  <si>
    <t>Premium cost</t>
  </si>
  <si>
    <t>BF Premium calc</t>
  </si>
  <si>
    <t>LP IL (%)</t>
  </si>
  <si>
    <t>Effective LP + IG Payoff</t>
  </si>
  <si>
    <t>NOTE: ORIGINAL SPREADSHEET PRODUCED BY B.FRIED &amp; POSTED ON TWITTER. I HAVE JUST RECREATED THE S/S RESULTS &amp; ADDED COMMENTS FROM THE ORIGINAL PAPER (REFERENCED IN COMMENT IN CELL K1) AS PART OF A PERSONAL DEFI LEARNING EXERCISE. I PROVIDED SOME SMALL ASSISTANCE/FEEDBACK TO THE PAPER AUTHORS PRIOR TO PUBLICATION &amp; WAS KINDLY INVITED TO JOIN THEIR DISCORD CHAT (TWITTER CHAT PIC BELOW).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</si>
</sst>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_);[Red]\(0\)"/>
    <numFmt numFmtId="166" formatCode="#,##0.0000_);[Red]\(#,##0.0000\)"/>
    <numFmt numFmtId="167" formatCode="0.000"/>
    <numFmt numFmtId="168" formatCode="0.000_);[Red]\(0.000\)"/>
  </numFmts>
  <fonts count="15">
    <font>
      <sz val="10"/>
      <name val="Arial"/>
      <family val="2"/>
    </font>
    <font>
      <sz val="13"/>
      <color rgb="FFFFFF00"/>
      <name val="Arial  "/>
    </font>
    <font>
      <sz val="13"/>
      <name val="Arial  "/>
    </font>
    <font>
      <u/>
      <sz val="10"/>
      <color theme="10"/>
      <name val="Arial"/>
      <family val="2"/>
    </font>
    <font>
      <u/>
      <sz val="13"/>
      <color theme="10"/>
      <name val="Arial  "/>
    </font>
    <font>
      <sz val="10"/>
      <name val="Nunito"/>
    </font>
    <font>
      <i/>
      <sz val="13"/>
      <name val="Arial  "/>
    </font>
    <font>
      <b/>
      <sz val="13"/>
      <name val="Arial  "/>
    </font>
    <font>
      <sz val="10"/>
      <color rgb="FF000000"/>
      <name val="Tahoma"/>
      <family val="2"/>
    </font>
    <font>
      <b/>
      <sz val="13"/>
      <color rgb="FF000000"/>
      <name val="Arial"/>
      <family val="34"/>
    </font>
    <font>
      <sz val="13"/>
      <color rgb="FF000000"/>
      <name val="Arial"/>
      <family val="34"/>
    </font>
    <font>
      <b/>
      <sz val="13"/>
      <color rgb="FF000000"/>
      <name val="Tahoma"/>
      <family val="2"/>
    </font>
    <font>
      <sz val="13"/>
      <color rgb="FF000000"/>
      <name val="Tahoma"/>
      <family val="2"/>
    </font>
    <font>
      <sz val="13"/>
      <color rgb="FF000000"/>
      <name val="Arial"/>
      <family val="2"/>
    </font>
    <font>
      <b/>
      <sz val="13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2" fillId="3" borderId="0" xfId="0" applyFont="1" applyFill="1"/>
    <xf numFmtId="0" fontId="2" fillId="3" borderId="2" xfId="0" applyFont="1" applyFill="1" applyBorder="1"/>
    <xf numFmtId="0" fontId="2" fillId="3" borderId="3" xfId="0" applyFont="1" applyFill="1" applyBorder="1"/>
    <xf numFmtId="9" fontId="2" fillId="3" borderId="4" xfId="0" applyNumberFormat="1" applyFont="1" applyFill="1" applyBorder="1" applyAlignment="1">
      <alignment horizontal="center"/>
    </xf>
    <xf numFmtId="9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3" fontId="2" fillId="3" borderId="0" xfId="0" applyNumberFormat="1" applyFont="1" applyFill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4" fillId="3" borderId="0" xfId="1" applyFont="1" applyFill="1"/>
    <xf numFmtId="1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/>
    <xf numFmtId="0" fontId="2" fillId="3" borderId="1" xfId="0" applyFont="1" applyFill="1" applyBorder="1"/>
    <xf numFmtId="1" fontId="2" fillId="3" borderId="6" xfId="0" applyNumberFormat="1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wrapText="1"/>
    </xf>
    <xf numFmtId="165" fontId="2" fillId="3" borderId="8" xfId="0" applyNumberFormat="1" applyFont="1" applyFill="1" applyBorder="1" applyAlignment="1">
      <alignment horizontal="center" wrapText="1"/>
    </xf>
    <xf numFmtId="0" fontId="1" fillId="2" borderId="1" xfId="0" applyFon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2" fillId="3" borderId="0" xfId="0" applyFont="1" applyFill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38" fontId="2" fillId="3" borderId="4" xfId="0" applyNumberFormat="1" applyFont="1" applyFill="1" applyBorder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2" fillId="3" borderId="5" xfId="0" applyNumberFormat="1" applyFont="1" applyFill="1" applyBorder="1" applyAlignment="1">
      <alignment horizontal="center"/>
    </xf>
    <xf numFmtId="166" fontId="2" fillId="3" borderId="4" xfId="0" applyNumberFormat="1" applyFont="1" applyFill="1" applyBorder="1" applyAlignment="1">
      <alignment horizontal="center"/>
    </xf>
    <xf numFmtId="10" fontId="2" fillId="3" borderId="4" xfId="0" applyNumberFormat="1" applyFont="1" applyFill="1" applyBorder="1" applyAlignment="1">
      <alignment horizontal="center"/>
    </xf>
    <xf numFmtId="38" fontId="2" fillId="3" borderId="5" xfId="0" applyNumberFormat="1" applyFont="1" applyFill="1" applyBorder="1" applyAlignment="1">
      <alignment horizontal="center"/>
    </xf>
    <xf numFmtId="0" fontId="2" fillId="3" borderId="4" xfId="0" applyFont="1" applyFill="1" applyBorder="1"/>
    <xf numFmtId="38" fontId="2" fillId="3" borderId="0" xfId="0" applyNumberFormat="1" applyFont="1" applyFill="1" applyAlignment="1">
      <alignment horizontal="center"/>
    </xf>
    <xf numFmtId="10" fontId="2" fillId="3" borderId="0" xfId="0" applyNumberFormat="1" applyFont="1" applyFill="1" applyAlignment="1">
      <alignment horizontal="center"/>
    </xf>
    <xf numFmtId="38" fontId="2" fillId="4" borderId="5" xfId="0" applyNumberFormat="1" applyFont="1" applyFill="1" applyBorder="1" applyAlignment="1">
      <alignment horizontal="center"/>
    </xf>
    <xf numFmtId="38" fontId="2" fillId="3" borderId="9" xfId="0" applyNumberFormat="1" applyFont="1" applyFill="1" applyBorder="1" applyAlignment="1">
      <alignment horizontal="center"/>
    </xf>
    <xf numFmtId="166" fontId="2" fillId="3" borderId="10" xfId="0" applyNumberFormat="1" applyFont="1" applyFill="1" applyBorder="1" applyAlignment="1">
      <alignment horizontal="center"/>
    </xf>
    <xf numFmtId="166" fontId="2" fillId="3" borderId="11" xfId="0" applyNumberFormat="1" applyFont="1" applyFill="1" applyBorder="1" applyAlignment="1">
      <alignment horizontal="center"/>
    </xf>
    <xf numFmtId="166" fontId="2" fillId="3" borderId="9" xfId="0" applyNumberFormat="1" applyFont="1" applyFill="1" applyBorder="1" applyAlignment="1">
      <alignment horizontal="center"/>
    </xf>
    <xf numFmtId="10" fontId="2" fillId="3" borderId="9" xfId="0" applyNumberFormat="1" applyFont="1" applyFill="1" applyBorder="1" applyAlignment="1">
      <alignment horizontal="center"/>
    </xf>
    <xf numFmtId="38" fontId="2" fillId="3" borderId="11" xfId="0" applyNumberFormat="1" applyFont="1" applyFill="1" applyBorder="1" applyAlignment="1">
      <alignment horizontal="center"/>
    </xf>
    <xf numFmtId="0" fontId="2" fillId="3" borderId="9" xfId="0" applyFont="1" applyFill="1" applyBorder="1"/>
    <xf numFmtId="1" fontId="2" fillId="3" borderId="10" xfId="0" applyNumberFormat="1" applyFont="1" applyFill="1" applyBorder="1" applyAlignment="1">
      <alignment horizontal="center"/>
    </xf>
    <xf numFmtId="164" fontId="2" fillId="3" borderId="10" xfId="0" applyNumberFormat="1" applyFont="1" applyFill="1" applyBorder="1"/>
    <xf numFmtId="38" fontId="2" fillId="3" borderId="10" xfId="0" applyNumberFormat="1" applyFont="1" applyFill="1" applyBorder="1" applyAlignment="1">
      <alignment horizontal="center"/>
    </xf>
    <xf numFmtId="10" fontId="2" fillId="3" borderId="10" xfId="0" applyNumberFormat="1" applyFont="1" applyFill="1" applyBorder="1" applyAlignment="1">
      <alignment horizontal="center"/>
    </xf>
    <xf numFmtId="0" fontId="5" fillId="0" borderId="0" xfId="0" applyFont="1"/>
    <xf numFmtId="38" fontId="2" fillId="3" borderId="0" xfId="0" applyNumberFormat="1" applyFont="1" applyFill="1"/>
    <xf numFmtId="1" fontId="2" fillId="3" borderId="1" xfId="0" applyNumberFormat="1" applyFont="1" applyFill="1" applyBorder="1" applyAlignment="1">
      <alignment horizontal="center" wrapText="1"/>
    </xf>
    <xf numFmtId="1" fontId="2" fillId="3" borderId="4" xfId="0" applyNumberFormat="1" applyFont="1" applyFill="1" applyBorder="1"/>
    <xf numFmtId="1" fontId="2" fillId="3" borderId="0" xfId="0" applyNumberFormat="1" applyFont="1" applyFill="1"/>
    <xf numFmtId="1" fontId="2" fillId="3" borderId="5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9" fontId="2" fillId="3" borderId="10" xfId="0" applyNumberFormat="1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3" fontId="2" fillId="3" borderId="10" xfId="0" applyNumberFormat="1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" fontId="2" fillId="3" borderId="4" xfId="0" applyNumberFormat="1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3" borderId="5" xfId="0" applyFont="1" applyFill="1" applyBorder="1"/>
    <xf numFmtId="0" fontId="7" fillId="3" borderId="0" xfId="0" applyFont="1" applyFill="1"/>
    <xf numFmtId="10" fontId="2" fillId="3" borderId="0" xfId="0" applyNumberFormat="1" applyFont="1" applyFill="1"/>
    <xf numFmtId="167" fontId="2" fillId="3" borderId="0" xfId="0" applyNumberFormat="1" applyFont="1" applyFill="1" applyAlignment="1">
      <alignment horizontal="center"/>
    </xf>
    <xf numFmtId="167" fontId="6" fillId="3" borderId="0" xfId="0" applyNumberFormat="1" applyFont="1" applyFill="1" applyAlignment="1">
      <alignment horizontal="center"/>
    </xf>
    <xf numFmtId="167" fontId="2" fillId="3" borderId="0" xfId="0" applyNumberFormat="1" applyFont="1" applyFill="1"/>
    <xf numFmtId="167" fontId="2" fillId="3" borderId="10" xfId="0" applyNumberFormat="1" applyFont="1" applyFill="1" applyBorder="1" applyAlignment="1">
      <alignment horizontal="center"/>
    </xf>
    <xf numFmtId="0" fontId="2" fillId="3" borderId="10" xfId="0" applyFont="1" applyFill="1" applyBorder="1"/>
    <xf numFmtId="0" fontId="2" fillId="3" borderId="11" xfId="0" applyFont="1" applyFill="1" applyBorder="1"/>
    <xf numFmtId="1" fontId="2" fillId="3" borderId="9" xfId="0" applyNumberFormat="1" applyFont="1" applyFill="1" applyBorder="1" applyAlignment="1">
      <alignment horizontal="center"/>
    </xf>
    <xf numFmtId="1" fontId="2" fillId="3" borderId="2" xfId="0" applyNumberFormat="1" applyFont="1" applyFill="1" applyBorder="1" applyAlignment="1">
      <alignment horizontal="left"/>
    </xf>
    <xf numFmtId="1" fontId="2" fillId="3" borderId="2" xfId="0" applyNumberFormat="1" applyFont="1" applyFill="1" applyBorder="1"/>
    <xf numFmtId="1" fontId="2" fillId="3" borderId="3" xfId="0" applyNumberFormat="1" applyFont="1" applyFill="1" applyBorder="1"/>
    <xf numFmtId="38" fontId="2" fillId="3" borderId="1" xfId="0" applyNumberFormat="1" applyFont="1" applyFill="1" applyBorder="1" applyAlignment="1">
      <alignment horizontal="center"/>
    </xf>
    <xf numFmtId="38" fontId="2" fillId="3" borderId="2" xfId="0" applyNumberFormat="1" applyFont="1" applyFill="1" applyBorder="1" applyAlignment="1">
      <alignment horizontal="left"/>
    </xf>
    <xf numFmtId="38" fontId="2" fillId="3" borderId="2" xfId="0" applyNumberFormat="1" applyFont="1" applyFill="1" applyBorder="1" applyAlignment="1">
      <alignment horizontal="center"/>
    </xf>
    <xf numFmtId="38" fontId="2" fillId="3" borderId="3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1" fontId="2" fillId="3" borderId="0" xfId="0" applyNumberFormat="1" applyFont="1" applyFill="1" applyAlignment="1">
      <alignment horizontal="center" wrapText="1"/>
    </xf>
    <xf numFmtId="168" fontId="2" fillId="3" borderId="0" xfId="0" applyNumberFormat="1" applyFont="1" applyFill="1" applyAlignment="1">
      <alignment horizontal="center"/>
    </xf>
    <xf numFmtId="168" fontId="2" fillId="3" borderId="5" xfId="0" applyNumberFormat="1" applyFont="1" applyFill="1" applyBorder="1" applyAlignment="1">
      <alignment horizontal="center"/>
    </xf>
    <xf numFmtId="38" fontId="2" fillId="3" borderId="0" xfId="0" applyNumberFormat="1" applyFont="1" applyFill="1" applyAlignment="1">
      <alignment horizontal="center" wrapText="1"/>
    </xf>
    <xf numFmtId="1" fontId="2" fillId="3" borderId="11" xfId="0" applyNumberFormat="1" applyFont="1" applyFill="1" applyBorder="1" applyAlignment="1">
      <alignment horizontal="center"/>
    </xf>
    <xf numFmtId="168" fontId="2" fillId="3" borderId="10" xfId="0" applyNumberFormat="1" applyFont="1" applyFill="1" applyBorder="1" applyAlignment="1">
      <alignment horizontal="center"/>
    </xf>
    <xf numFmtId="168" fontId="2" fillId="3" borderId="11" xfId="0" applyNumberFormat="1" applyFont="1" applyFill="1" applyBorder="1" applyAlignment="1">
      <alignment horizontal="center"/>
    </xf>
    <xf numFmtId="0" fontId="1" fillId="5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LP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'IG hedging'!$T$44:$T$45</c:f>
              <c:strCache>
                <c:ptCount val="2"/>
                <c:pt idx="0">
                  <c:v>Vega LP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hedging'!$S$46:$S$82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hedging'!$T$46:$T$82</c:f>
              <c:numCache>
                <c:formatCode>#,##0.0000_);[Red]\(#,##0.0000\)</c:formatCode>
                <c:ptCount val="37"/>
                <c:pt idx="0">
                  <c:v>-2.4017090681311096E-2</c:v>
                </c:pt>
                <c:pt idx="1">
                  <c:v>-3.6310428090306275E-2</c:v>
                </c:pt>
                <c:pt idx="2">
                  <c:v>-4.5388035112882849E-2</c:v>
                </c:pt>
                <c:pt idx="3">
                  <c:v>-5.2931089868953854E-2</c:v>
                </c:pt>
                <c:pt idx="4">
                  <c:v>-5.9525849998317976E-2</c:v>
                </c:pt>
                <c:pt idx="5">
                  <c:v>-6.5459555156823626E-2</c:v>
                </c:pt>
                <c:pt idx="6">
                  <c:v>-7.0898377306086627E-2</c:v>
                </c:pt>
                <c:pt idx="7">
                  <c:v>-7.5948709323748226E-2</c:v>
                </c:pt>
                <c:pt idx="8">
                  <c:v>-0.11071331763559118</c:v>
                </c:pt>
                <c:pt idx="9">
                  <c:v>-0.13691848288604211</c:v>
                </c:pt>
                <c:pt idx="10">
                  <c:v>-0.15885812289508996</c:v>
                </c:pt>
                <c:pt idx="11">
                  <c:v>-0.17811551157517869</c:v>
                </c:pt>
                <c:pt idx="12">
                  <c:v>-0.19548495522066067</c:v>
                </c:pt>
                <c:pt idx="13">
                  <c:v>-0.21143225858785081</c:v>
                </c:pt>
                <c:pt idx="14">
                  <c:v>-0.22625833073170123</c:v>
                </c:pt>
                <c:pt idx="15">
                  <c:v>-0.24017090681311093</c:v>
                </c:pt>
                <c:pt idx="16">
                  <c:v>-0.26309404663602409</c:v>
                </c:pt>
                <c:pt idx="17">
                  <c:v>-0.28417404925714945</c:v>
                </c:pt>
                <c:pt idx="18">
                  <c:v>-0.3037948372949929</c:v>
                </c:pt>
                <c:pt idx="19">
                  <c:v>-0.32222308431113006</c:v>
                </c:pt>
                <c:pt idx="20">
                  <c:v>-0.33965295370254622</c:v>
                </c:pt>
                <c:pt idx="21">
                  <c:v>-0.35623102315035737</c:v>
                </c:pt>
                <c:pt idx="22">
                  <c:v>-0.37207116893228487</c:v>
                </c:pt>
                <c:pt idx="23">
                  <c:v>-0.38726395087397852</c:v>
                </c:pt>
                <c:pt idx="24">
                  <c:v>-0.40188279453394071</c:v>
                </c:pt>
                <c:pt idx="25">
                  <c:v>-0.41598821310019835</c:v>
                </c:pt>
                <c:pt idx="26">
                  <c:v>-0.42963077908150671</c:v>
                </c:pt>
                <c:pt idx="27">
                  <c:v>-0.44285327054236473</c:v>
                </c:pt>
                <c:pt idx="28">
                  <c:v>-0.45569225594248935</c:v>
                </c:pt>
                <c:pt idx="29">
                  <c:v>-0.46817928726273406</c:v>
                </c:pt>
                <c:pt idx="30">
                  <c:v>-0.48034181362622186</c:v>
                </c:pt>
                <c:pt idx="31">
                  <c:v>-0.49220389150596366</c:v>
                </c:pt>
                <c:pt idx="32">
                  <c:v>-0.50378674427727932</c:v>
                </c:pt>
                <c:pt idx="33">
                  <c:v>-0.51510920842612318</c:v>
                </c:pt>
                <c:pt idx="34">
                  <c:v>-0.52618809327204819</c:v>
                </c:pt>
                <c:pt idx="35">
                  <c:v>-0.53703847385188341</c:v>
                </c:pt>
                <c:pt idx="36">
                  <c:v>-0.54767393154416844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7-7C43-BDE2-DBC9CD79BC1D}"/>
            </c:ext>
          </c:extLst>
        </c:ser>
        <c:ser>
          <c:idx val="1"/>
          <c:order val="1"/>
          <c:tx>
            <c:strRef>
              <c:f>'IG hedging'!$U$44:$U$45</c:f>
              <c:strCache>
                <c:ptCount val="2"/>
                <c:pt idx="0">
                  <c:v>Vega LP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hedging'!$S$46:$S$82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hedging'!$U$46:$U$82</c:f>
              <c:numCache>
                <c:formatCode>#,##0.0000_);[Red]\(#,##0.0000\)</c:formatCode>
                <c:ptCount val="37"/>
                <c:pt idx="0">
                  <c:v>-4.794765929411992E-2</c:v>
                </c:pt>
                <c:pt idx="1">
                  <c:v>-7.2490047108512035E-2</c:v>
                </c:pt>
                <c:pt idx="2">
                  <c:v>-9.0612558885640043E-2</c:v>
                </c:pt>
                <c:pt idx="3">
                  <c:v>-0.10567149438620083</c:v>
                </c:pt>
                <c:pt idx="4">
                  <c:v>-0.1188372568844559</c:v>
                </c:pt>
                <c:pt idx="5">
                  <c:v>-0.13068329090527009</c:v>
                </c:pt>
                <c:pt idx="6">
                  <c:v>-0.14154134173392854</c:v>
                </c:pt>
                <c:pt idx="7">
                  <c:v>-0.15162381184316018</c:v>
                </c:pt>
                <c:pt idx="8">
                  <c:v>-0.22102778824263553</c:v>
                </c:pt>
                <c:pt idx="9">
                  <c:v>-0.27334371409090902</c:v>
                </c:pt>
                <c:pt idx="10">
                  <c:v>-0.31714395609974011</c:v>
                </c:pt>
                <c:pt idx="11">
                  <c:v>-0.35558935831683036</c:v>
                </c:pt>
                <c:pt idx="12">
                  <c:v>-0.39026567182594535</c:v>
                </c:pt>
                <c:pt idx="13">
                  <c:v>-0.42210282806839589</c:v>
                </c:pt>
                <c:pt idx="14">
                  <c:v>-0.45170156112295984</c:v>
                </c:pt>
                <c:pt idx="15">
                  <c:v>-0.4794765929411991</c:v>
                </c:pt>
                <c:pt idx="16">
                  <c:v>-0.52524029149923412</c:v>
                </c:pt>
                <c:pt idx="17">
                  <c:v>-0.56732435559378247</c:v>
                </c:pt>
                <c:pt idx="18">
                  <c:v>-0.60649524737264071</c:v>
                </c:pt>
                <c:pt idx="19">
                  <c:v>-0.64328535326191028</c:v>
                </c:pt>
                <c:pt idx="20">
                  <c:v>-0.67808230057788765</c:v>
                </c:pt>
                <c:pt idx="21">
                  <c:v>-0.71117871663366072</c:v>
                </c:pt>
                <c:pt idx="22">
                  <c:v>-0.74280194374301478</c:v>
                </c:pt>
                <c:pt idx="23">
                  <c:v>-0.77313277531359459</c:v>
                </c:pt>
                <c:pt idx="24">
                  <c:v>-0.80231779794530356</c:v>
                </c:pt>
                <c:pt idx="25">
                  <c:v>-0.83047782001417769</c:v>
                </c:pt>
                <c:pt idx="26">
                  <c:v>-0.85771380434921374</c:v>
                </c:pt>
                <c:pt idx="27">
                  <c:v>-0.8841111529705421</c:v>
                </c:pt>
                <c:pt idx="28">
                  <c:v>-0.90974287105896079</c:v>
                </c:pt>
                <c:pt idx="29">
                  <c:v>-0.93467194890950978</c:v>
                </c:pt>
                <c:pt idx="30">
                  <c:v>-0.9589531858823982</c:v>
                </c:pt>
                <c:pt idx="31">
                  <c:v>-0.98263460825970383</c:v>
                </c:pt>
                <c:pt idx="32">
                  <c:v>-1.0057585863344152</c:v>
                </c:pt>
                <c:pt idx="33">
                  <c:v>-1.0283627252196093</c:v>
                </c:pt>
                <c:pt idx="34">
                  <c:v>-1.0504805829984682</c:v>
                </c:pt>
                <c:pt idx="35">
                  <c:v>-1.072142255436517</c:v>
                </c:pt>
                <c:pt idx="36">
                  <c:v>-1.0933748563636361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7-7C43-BDE2-DBC9CD79BC1D}"/>
            </c:ext>
          </c:extLst>
        </c:ser>
        <c:ser>
          <c:idx val="2"/>
          <c:order val="2"/>
          <c:tx>
            <c:strRef>
              <c:f>'IG hedging'!$Z$44:$Z$45</c:f>
              <c:strCache>
                <c:ptCount val="2"/>
                <c:pt idx="0">
                  <c:v>Vega LP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hedging'!$S$46:$S$82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hedging'!$Z$46:$Z$82</c:f>
              <c:numCache>
                <c:formatCode>#,##0.0000_);[Red]\(#,##0.0000\)</c:formatCode>
                <c:ptCount val="37"/>
                <c:pt idx="0">
                  <c:v>-7.1705703057866735E-2</c:v>
                </c:pt>
                <c:pt idx="1">
                  <c:v>-0.10840883307209094</c:v>
                </c:pt>
                <c:pt idx="2">
                  <c:v>-0.13551104134011366</c:v>
                </c:pt>
                <c:pt idx="3">
                  <c:v>-0.15803167265491913</c:v>
                </c:pt>
                <c:pt idx="4">
                  <c:v>-0.1777210645903885</c:v>
                </c:pt>
                <c:pt idx="5">
                  <c:v>-0.19543680317732004</c:v>
                </c:pt>
                <c:pt idx="6">
                  <c:v>-0.21167501334167921</c:v>
                </c:pt>
                <c:pt idx="7">
                  <c:v>-0.22675334288655943</c:v>
                </c:pt>
                <c:pt idx="8">
                  <c:v>-0.3305469585917224</c:v>
                </c:pt>
                <c:pt idx="9">
                  <c:v>-0.40878540233017879</c:v>
                </c:pt>
                <c:pt idx="10">
                  <c:v>-0.47428864469039778</c:v>
                </c:pt>
                <c:pt idx="11">
                  <c:v>-0.53178372653388206</c:v>
                </c:pt>
                <c:pt idx="12">
                  <c:v>-0.58364213789810537</c:v>
                </c:pt>
                <c:pt idx="13">
                  <c:v>-0.63125459083818103</c:v>
                </c:pt>
                <c:pt idx="14">
                  <c:v>-0.67551948290059516</c:v>
                </c:pt>
                <c:pt idx="15">
                  <c:v>-0.71705703057866732</c:v>
                </c:pt>
                <c:pt idx="16">
                  <c:v>-0.78549662133121545</c:v>
                </c:pt>
                <c:pt idx="17">
                  <c:v>-0.84843332038717945</c:v>
                </c:pt>
                <c:pt idx="18">
                  <c:v>-0.90701337154623773</c:v>
                </c:pt>
                <c:pt idx="19">
                  <c:v>-0.96203295847082726</c:v>
                </c:pt>
                <c:pt idx="20">
                  <c:v>-1.0140717776393307</c:v>
                </c:pt>
                <c:pt idx="21">
                  <c:v>-1.0635674530677641</c:v>
                </c:pt>
                <c:pt idx="22">
                  <c:v>-1.1108599750848485</c:v>
                </c:pt>
                <c:pt idx="23">
                  <c:v>-1.1562197201509623</c:v>
                </c:pt>
                <c:pt idx="24">
                  <c:v>-1.1998659084607863</c:v>
                </c:pt>
                <c:pt idx="25">
                  <c:v>-1.2419792088867219</c:v>
                </c:pt>
                <c:pt idx="26">
                  <c:v>-1.2827106112944364</c:v>
                </c:pt>
                <c:pt idx="27">
                  <c:v>-1.3221878343668896</c:v>
                </c:pt>
                <c:pt idx="28">
                  <c:v>-1.3605200573193565</c:v>
                </c:pt>
                <c:pt idx="29">
                  <c:v>-1.3978014821099325</c:v>
                </c:pt>
                <c:pt idx="30">
                  <c:v>-1.4341140611573346</c:v>
                </c:pt>
                <c:pt idx="31">
                  <c:v>-1.4695296177449584</c:v>
                </c:pt>
                <c:pt idx="32">
                  <c:v>-1.5041115166270427</c:v>
                </c:pt>
                <c:pt idx="33">
                  <c:v>-1.5379159962333966</c:v>
                </c:pt>
                <c:pt idx="34">
                  <c:v>-1.5709932426624309</c:v>
                </c:pt>
                <c:pt idx="35">
                  <c:v>-1.6033882641180455</c:v>
                </c:pt>
                <c:pt idx="36">
                  <c:v>-1.6351416093207152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7-7C43-BDE2-DBC9CD79BC1D}"/>
            </c:ext>
          </c:extLst>
        </c:ser>
        <c:ser>
          <c:idx val="3"/>
          <c:order val="3"/>
          <c:tx>
            <c:strRef>
              <c:f>'IG hedging'!$AA$44:$AA$45</c:f>
              <c:strCache>
                <c:ptCount val="2"/>
                <c:pt idx="0">
                  <c:v>Vega LP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hedging'!$S$46:$S$82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hedging'!$AA$46:$AA$82</c:f>
              <c:numCache>
                <c:formatCode>#,##0.0000_);[Red]\(#,##0.0000\)</c:formatCode>
                <c:ptCount val="37"/>
                <c:pt idx="0">
                  <c:v>-9.5206253406297833E-2</c:v>
                </c:pt>
                <c:pt idx="1">
                  <c:v>-0.14393832558357722</c:v>
                </c:pt>
                <c:pt idx="2">
                  <c:v>-0.17992290697947153</c:v>
                </c:pt>
                <c:pt idx="3">
                  <c:v>-0.20982436307560484</c:v>
                </c:pt>
                <c:pt idx="4">
                  <c:v>-0.23596668032631837</c:v>
                </c:pt>
                <c:pt idx="5">
                  <c:v>-0.25948850669800888</c:v>
                </c:pt>
                <c:pt idx="6">
                  <c:v>-0.28104856518492016</c:v>
                </c:pt>
                <c:pt idx="7">
                  <c:v>-0.30106860825506532</c:v>
                </c:pt>
                <c:pt idx="8">
                  <c:v>-0.43887914294582764</c:v>
                </c:pt>
                <c:pt idx="9">
                  <c:v>-0.54275915224810944</c:v>
                </c:pt>
                <c:pt idx="10">
                  <c:v>-0.62973017442815038</c:v>
                </c:pt>
                <c:pt idx="11">
                  <c:v>-0.70606847247383231</c:v>
                </c:pt>
                <c:pt idx="12">
                  <c:v>-0.77492275941396438</c:v>
                </c:pt>
                <c:pt idx="13">
                  <c:v>-0.83813953390469254</c:v>
                </c:pt>
                <c:pt idx="14">
                  <c:v>-0.89691163083672709</c:v>
                </c:pt>
                <c:pt idx="15">
                  <c:v>-0.95206253406297836</c:v>
                </c:pt>
                <c:pt idx="16">
                  <c:v>-1.0429322521236477</c:v>
                </c:pt>
                <c:pt idx="17">
                  <c:v>-1.1264955820033151</c:v>
                </c:pt>
                <c:pt idx="18">
                  <c:v>-1.2042744330202613</c:v>
                </c:pt>
                <c:pt idx="19">
                  <c:v>-1.2773259269973172</c:v>
                </c:pt>
                <c:pt idx="20">
                  <c:v>-1.3464197478991609</c:v>
                </c:pt>
                <c:pt idx="21">
                  <c:v>-1.4121369449476646</c:v>
                </c:pt>
                <c:pt idx="22">
                  <c:v>-1.4749289355895785</c:v>
                </c:pt>
                <c:pt idx="23">
                  <c:v>-1.5351547084227999</c:v>
                </c:pt>
                <c:pt idx="24">
                  <c:v>-1.5931053300224614</c:v>
                </c:pt>
                <c:pt idx="25">
                  <c:v>-1.6490206809798533</c:v>
                </c:pt>
                <c:pt idx="26">
                  <c:v>-1.7031012359964228</c:v>
                </c:pt>
                <c:pt idx="27">
                  <c:v>-1.7555165717833106</c:v>
                </c:pt>
                <c:pt idx="28">
                  <c:v>-1.8064116495303915</c:v>
                </c:pt>
                <c:pt idx="29">
                  <c:v>-1.8559115445819057</c:v>
                </c:pt>
                <c:pt idx="30">
                  <c:v>-1.9041250681259567</c:v>
                </c:pt>
                <c:pt idx="31">
                  <c:v>-1.9511475825316145</c:v>
                </c:pt>
                <c:pt idx="32">
                  <c:v>-1.997063219473096</c:v>
                </c:pt>
                <c:pt idx="33">
                  <c:v>-2.0419466487461251</c:v>
                </c:pt>
                <c:pt idx="34">
                  <c:v>-2.0858645042472954</c:v>
                </c:pt>
                <c:pt idx="35">
                  <c:v>-2.1288765449955287</c:v>
                </c:pt>
                <c:pt idx="36">
                  <c:v>-2.1710366089924378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7-7C43-BDE2-DBC9CD79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IG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'IG hedging'!$N$44:$N$45</c:f>
              <c:strCache>
                <c:ptCount val="2"/>
                <c:pt idx="0">
                  <c:v>Vega IG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hedging'!$M$46:$M$82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hedging'!$N$46:$N$82</c:f>
              <c:numCache>
                <c:formatCode>#,##0.0000_);[Red]\(#,##0.0000\)</c:formatCode>
                <c:ptCount val="37"/>
                <c:pt idx="0">
                  <c:v>2.4017090681311096E-2</c:v>
                </c:pt>
                <c:pt idx="1">
                  <c:v>3.6310428090306275E-2</c:v>
                </c:pt>
                <c:pt idx="2">
                  <c:v>4.5388035112882849E-2</c:v>
                </c:pt>
                <c:pt idx="3">
                  <c:v>5.2931089868953854E-2</c:v>
                </c:pt>
                <c:pt idx="4">
                  <c:v>5.9525849998317976E-2</c:v>
                </c:pt>
                <c:pt idx="5">
                  <c:v>6.5459555156823626E-2</c:v>
                </c:pt>
                <c:pt idx="6">
                  <c:v>7.0898377306086627E-2</c:v>
                </c:pt>
                <c:pt idx="7">
                  <c:v>7.5948709323748226E-2</c:v>
                </c:pt>
                <c:pt idx="8">
                  <c:v>0.11071331763559118</c:v>
                </c:pt>
                <c:pt idx="9">
                  <c:v>0.13691848288604211</c:v>
                </c:pt>
                <c:pt idx="10">
                  <c:v>0.15885812289508996</c:v>
                </c:pt>
                <c:pt idx="11">
                  <c:v>0.17811551157517869</c:v>
                </c:pt>
                <c:pt idx="12">
                  <c:v>0.19548495522066067</c:v>
                </c:pt>
                <c:pt idx="13">
                  <c:v>0.21143225858785081</c:v>
                </c:pt>
                <c:pt idx="14">
                  <c:v>0.22625833073170123</c:v>
                </c:pt>
                <c:pt idx="15">
                  <c:v>0.24017090681311093</c:v>
                </c:pt>
                <c:pt idx="16">
                  <c:v>0.26309404663602409</c:v>
                </c:pt>
                <c:pt idx="17">
                  <c:v>0.28417404925714945</c:v>
                </c:pt>
                <c:pt idx="18">
                  <c:v>0.3037948372949929</c:v>
                </c:pt>
                <c:pt idx="19">
                  <c:v>0.32222308431113006</c:v>
                </c:pt>
                <c:pt idx="20">
                  <c:v>0.33965295370254622</c:v>
                </c:pt>
                <c:pt idx="21">
                  <c:v>0.35623102315035737</c:v>
                </c:pt>
                <c:pt idx="22">
                  <c:v>0.37207116893228487</c:v>
                </c:pt>
                <c:pt idx="23">
                  <c:v>0.38726395087397852</c:v>
                </c:pt>
                <c:pt idx="24">
                  <c:v>0.40188279453394071</c:v>
                </c:pt>
                <c:pt idx="25">
                  <c:v>0.41598821310019835</c:v>
                </c:pt>
                <c:pt idx="26">
                  <c:v>0.42963077908150671</c:v>
                </c:pt>
                <c:pt idx="27">
                  <c:v>0.44285327054236473</c:v>
                </c:pt>
                <c:pt idx="28">
                  <c:v>0.45569225594248935</c:v>
                </c:pt>
                <c:pt idx="29">
                  <c:v>0.46817928726273406</c:v>
                </c:pt>
                <c:pt idx="30">
                  <c:v>0.48034181362622186</c:v>
                </c:pt>
                <c:pt idx="31">
                  <c:v>0.49220389150596366</c:v>
                </c:pt>
                <c:pt idx="32">
                  <c:v>0.50378674427727932</c:v>
                </c:pt>
                <c:pt idx="33">
                  <c:v>0.51510920842612318</c:v>
                </c:pt>
                <c:pt idx="34">
                  <c:v>0.52618809327204819</c:v>
                </c:pt>
                <c:pt idx="35">
                  <c:v>0.53703847385188341</c:v>
                </c:pt>
                <c:pt idx="36">
                  <c:v>0.54767393154416844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2-0147-87C4-511AAB314A73}"/>
            </c:ext>
          </c:extLst>
        </c:ser>
        <c:ser>
          <c:idx val="1"/>
          <c:order val="1"/>
          <c:tx>
            <c:strRef>
              <c:f>'IG hedging'!$O$44:$O$45</c:f>
              <c:strCache>
                <c:ptCount val="2"/>
                <c:pt idx="0">
                  <c:v>Vega IG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hedging'!$M$46:$M$82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hedging'!$O$46:$O$82</c:f>
              <c:numCache>
                <c:formatCode>#,##0.0000_);[Red]\(#,##0.0000\)</c:formatCode>
                <c:ptCount val="37"/>
                <c:pt idx="0">
                  <c:v>4.794765929411992E-2</c:v>
                </c:pt>
                <c:pt idx="1">
                  <c:v>7.2490047108512035E-2</c:v>
                </c:pt>
                <c:pt idx="2">
                  <c:v>9.0612558885640043E-2</c:v>
                </c:pt>
                <c:pt idx="3">
                  <c:v>0.10567149438620083</c:v>
                </c:pt>
                <c:pt idx="4">
                  <c:v>0.1188372568844559</c:v>
                </c:pt>
                <c:pt idx="5">
                  <c:v>0.13068329090527009</c:v>
                </c:pt>
                <c:pt idx="6">
                  <c:v>0.14154134173392854</c:v>
                </c:pt>
                <c:pt idx="7">
                  <c:v>0.15162381184316018</c:v>
                </c:pt>
                <c:pt idx="8">
                  <c:v>0.22102778824263553</c:v>
                </c:pt>
                <c:pt idx="9">
                  <c:v>0.27334371409090902</c:v>
                </c:pt>
                <c:pt idx="10">
                  <c:v>0.31714395609974011</c:v>
                </c:pt>
                <c:pt idx="11">
                  <c:v>0.35558935831683036</c:v>
                </c:pt>
                <c:pt idx="12">
                  <c:v>0.39026567182594535</c:v>
                </c:pt>
                <c:pt idx="13">
                  <c:v>0.42210282806839589</c:v>
                </c:pt>
                <c:pt idx="14">
                  <c:v>0.45170156112295984</c:v>
                </c:pt>
                <c:pt idx="15">
                  <c:v>0.4794765929411991</c:v>
                </c:pt>
                <c:pt idx="16">
                  <c:v>0.52524029149923412</c:v>
                </c:pt>
                <c:pt idx="17">
                  <c:v>0.56732435559378247</c:v>
                </c:pt>
                <c:pt idx="18">
                  <c:v>0.60649524737264071</c:v>
                </c:pt>
                <c:pt idx="19">
                  <c:v>0.64328535326191028</c:v>
                </c:pt>
                <c:pt idx="20">
                  <c:v>0.67808230057788765</c:v>
                </c:pt>
                <c:pt idx="21">
                  <c:v>0.71117871663366072</c:v>
                </c:pt>
                <c:pt idx="22">
                  <c:v>0.74280194374301478</c:v>
                </c:pt>
                <c:pt idx="23">
                  <c:v>0.77313277531359459</c:v>
                </c:pt>
                <c:pt idx="24">
                  <c:v>0.80231779794530356</c:v>
                </c:pt>
                <c:pt idx="25">
                  <c:v>0.83047782001417769</c:v>
                </c:pt>
                <c:pt idx="26">
                  <c:v>0.85771380434921374</c:v>
                </c:pt>
                <c:pt idx="27">
                  <c:v>0.8841111529705421</c:v>
                </c:pt>
                <c:pt idx="28">
                  <c:v>0.90974287105896079</c:v>
                </c:pt>
                <c:pt idx="29">
                  <c:v>0.93467194890950978</c:v>
                </c:pt>
                <c:pt idx="30">
                  <c:v>0.9589531858823982</c:v>
                </c:pt>
                <c:pt idx="31">
                  <c:v>0.98263460825970383</c:v>
                </c:pt>
                <c:pt idx="32">
                  <c:v>1.0057585863344152</c:v>
                </c:pt>
                <c:pt idx="33">
                  <c:v>1.0283627252196093</c:v>
                </c:pt>
                <c:pt idx="34">
                  <c:v>1.0504805829984682</c:v>
                </c:pt>
                <c:pt idx="35">
                  <c:v>1.072142255436517</c:v>
                </c:pt>
                <c:pt idx="36">
                  <c:v>1.0933748563636361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2-0147-87C4-511AAB314A73}"/>
            </c:ext>
          </c:extLst>
        </c:ser>
        <c:ser>
          <c:idx val="2"/>
          <c:order val="2"/>
          <c:tx>
            <c:strRef>
              <c:f>'IG hedging'!$P$44:$P$45</c:f>
              <c:strCache>
                <c:ptCount val="2"/>
                <c:pt idx="0">
                  <c:v>Vega IG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hedging'!$M$46:$M$82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hedging'!$P$46:$P$82</c:f>
              <c:numCache>
                <c:formatCode>#,##0.0000_);[Red]\(#,##0.0000\)</c:formatCode>
                <c:ptCount val="37"/>
                <c:pt idx="0">
                  <c:v>7.1705703057866735E-2</c:v>
                </c:pt>
                <c:pt idx="1">
                  <c:v>0.10840883307209094</c:v>
                </c:pt>
                <c:pt idx="2">
                  <c:v>0.13551104134011366</c:v>
                </c:pt>
                <c:pt idx="3">
                  <c:v>0.15803167265491913</c:v>
                </c:pt>
                <c:pt idx="4">
                  <c:v>0.1777210645903885</c:v>
                </c:pt>
                <c:pt idx="5">
                  <c:v>0.19543680317732004</c:v>
                </c:pt>
                <c:pt idx="6">
                  <c:v>0.21167501334167921</c:v>
                </c:pt>
                <c:pt idx="7">
                  <c:v>0.22675334288655943</c:v>
                </c:pt>
                <c:pt idx="8">
                  <c:v>0.3305469585917224</c:v>
                </c:pt>
                <c:pt idx="9">
                  <c:v>0.40878540233017879</c:v>
                </c:pt>
                <c:pt idx="10">
                  <c:v>0.47428864469039778</c:v>
                </c:pt>
                <c:pt idx="11">
                  <c:v>0.53178372653388206</c:v>
                </c:pt>
                <c:pt idx="12">
                  <c:v>0.58364213789810537</c:v>
                </c:pt>
                <c:pt idx="13">
                  <c:v>0.63125459083818103</c:v>
                </c:pt>
                <c:pt idx="14">
                  <c:v>0.67551948290059516</c:v>
                </c:pt>
                <c:pt idx="15">
                  <c:v>0.71705703057866732</c:v>
                </c:pt>
                <c:pt idx="16">
                  <c:v>0.78549662133121545</c:v>
                </c:pt>
                <c:pt idx="17">
                  <c:v>0.84843332038717945</c:v>
                </c:pt>
                <c:pt idx="18">
                  <c:v>0.90701337154623773</c:v>
                </c:pt>
                <c:pt idx="19">
                  <c:v>0.96203295847082726</c:v>
                </c:pt>
                <c:pt idx="20">
                  <c:v>1.0140717776393307</c:v>
                </c:pt>
                <c:pt idx="21">
                  <c:v>1.0635674530677641</c:v>
                </c:pt>
                <c:pt idx="22">
                  <c:v>1.1108599750848485</c:v>
                </c:pt>
                <c:pt idx="23">
                  <c:v>1.1562197201509623</c:v>
                </c:pt>
                <c:pt idx="24">
                  <c:v>1.1998659084607863</c:v>
                </c:pt>
                <c:pt idx="25">
                  <c:v>1.2419792088867219</c:v>
                </c:pt>
                <c:pt idx="26">
                  <c:v>1.2827106112944364</c:v>
                </c:pt>
                <c:pt idx="27">
                  <c:v>1.3221878343668896</c:v>
                </c:pt>
                <c:pt idx="28">
                  <c:v>1.3605200573193565</c:v>
                </c:pt>
                <c:pt idx="29">
                  <c:v>1.3978014821099325</c:v>
                </c:pt>
                <c:pt idx="30">
                  <c:v>1.4341140611573346</c:v>
                </c:pt>
                <c:pt idx="31">
                  <c:v>1.4695296177449584</c:v>
                </c:pt>
                <c:pt idx="32">
                  <c:v>1.5041115166270427</c:v>
                </c:pt>
                <c:pt idx="33">
                  <c:v>1.5379159962333966</c:v>
                </c:pt>
                <c:pt idx="34">
                  <c:v>1.5709932426624309</c:v>
                </c:pt>
                <c:pt idx="35">
                  <c:v>1.6033882641180455</c:v>
                </c:pt>
                <c:pt idx="36">
                  <c:v>1.6351416093207152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82-0147-87C4-511AAB314A73}"/>
            </c:ext>
          </c:extLst>
        </c:ser>
        <c:ser>
          <c:idx val="3"/>
          <c:order val="3"/>
          <c:tx>
            <c:strRef>
              <c:f>'IG hedging'!$Q$44:$Q$45</c:f>
              <c:strCache>
                <c:ptCount val="2"/>
                <c:pt idx="0">
                  <c:v>Vega IG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hedging'!$M$46:$M$82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hedging'!$Q$46:$Q$82</c:f>
              <c:numCache>
                <c:formatCode>#,##0.0000_);[Red]\(#,##0.0000\)</c:formatCode>
                <c:ptCount val="37"/>
                <c:pt idx="0">
                  <c:v>9.5206253406297833E-2</c:v>
                </c:pt>
                <c:pt idx="1">
                  <c:v>0.14393832558357722</c:v>
                </c:pt>
                <c:pt idx="2">
                  <c:v>0.17992290697947153</c:v>
                </c:pt>
                <c:pt idx="3">
                  <c:v>0.20982436307560484</c:v>
                </c:pt>
                <c:pt idx="4">
                  <c:v>0.23596668032631837</c:v>
                </c:pt>
                <c:pt idx="5">
                  <c:v>0.25948850669800888</c:v>
                </c:pt>
                <c:pt idx="6">
                  <c:v>0.28104856518492016</c:v>
                </c:pt>
                <c:pt idx="7">
                  <c:v>0.30106860825506532</c:v>
                </c:pt>
                <c:pt idx="8">
                  <c:v>0.43887914294582764</c:v>
                </c:pt>
                <c:pt idx="9">
                  <c:v>0.54275915224810944</c:v>
                </c:pt>
                <c:pt idx="10">
                  <c:v>0.62973017442815038</c:v>
                </c:pt>
                <c:pt idx="11">
                  <c:v>0.70606847247383231</c:v>
                </c:pt>
                <c:pt idx="12">
                  <c:v>0.77492275941396438</c:v>
                </c:pt>
                <c:pt idx="13">
                  <c:v>0.83813953390469254</c:v>
                </c:pt>
                <c:pt idx="14">
                  <c:v>0.89691163083672709</c:v>
                </c:pt>
                <c:pt idx="15">
                  <c:v>0.95206253406297836</c:v>
                </c:pt>
                <c:pt idx="16">
                  <c:v>1.0429322521236477</c:v>
                </c:pt>
                <c:pt idx="17">
                  <c:v>1.1264955820033151</c:v>
                </c:pt>
                <c:pt idx="18">
                  <c:v>1.2042744330202613</c:v>
                </c:pt>
                <c:pt idx="19">
                  <c:v>1.2773259269973172</c:v>
                </c:pt>
                <c:pt idx="20">
                  <c:v>1.3464197478991609</c:v>
                </c:pt>
                <c:pt idx="21">
                  <c:v>1.4121369449476646</c:v>
                </c:pt>
                <c:pt idx="22">
                  <c:v>1.4749289355895785</c:v>
                </c:pt>
                <c:pt idx="23">
                  <c:v>1.5351547084227999</c:v>
                </c:pt>
                <c:pt idx="24">
                  <c:v>1.5931053300224614</c:v>
                </c:pt>
                <c:pt idx="25">
                  <c:v>1.6490206809798533</c:v>
                </c:pt>
                <c:pt idx="26">
                  <c:v>1.7031012359964228</c:v>
                </c:pt>
                <c:pt idx="27">
                  <c:v>1.7555165717833106</c:v>
                </c:pt>
                <c:pt idx="28">
                  <c:v>1.8064116495303915</c:v>
                </c:pt>
                <c:pt idx="29">
                  <c:v>1.8559115445819057</c:v>
                </c:pt>
                <c:pt idx="30">
                  <c:v>1.9041250681259567</c:v>
                </c:pt>
                <c:pt idx="31">
                  <c:v>1.9511475825316145</c:v>
                </c:pt>
                <c:pt idx="32">
                  <c:v>1.997063219473096</c:v>
                </c:pt>
                <c:pt idx="33">
                  <c:v>2.0419466487461251</c:v>
                </c:pt>
                <c:pt idx="34">
                  <c:v>2.0858645042472954</c:v>
                </c:pt>
                <c:pt idx="35">
                  <c:v>2.1288765449955287</c:v>
                </c:pt>
                <c:pt idx="36">
                  <c:v>2.1710366089924378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82-0147-87C4-511AAB314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IG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'IG hedging'!$B$44:$B$45</c:f>
              <c:strCache>
                <c:ptCount val="2"/>
                <c:pt idx="0">
                  <c:v>Delta IG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hedging'!$A$46:$A$82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hedging'!$B$46:$B$82</c:f>
              <c:numCache>
                <c:formatCode>#,##0.0000_);[Red]\(#,##0.0000\)</c:formatCode>
                <c:ptCount val="37"/>
                <c:pt idx="0">
                  <c:v>-44.955548617127072</c:v>
                </c:pt>
                <c:pt idx="1">
                  <c:v>-28.042489562178716</c:v>
                </c:pt>
                <c:pt idx="2">
                  <c:v>-21.433991649742971</c:v>
                </c:pt>
                <c:pt idx="3">
                  <c:v>-17.666960837999056</c:v>
                </c:pt>
                <c:pt idx="4">
                  <c:v>-15.155729673849063</c:v>
                </c:pt>
                <c:pt idx="5">
                  <c:v>-13.328675443910615</c:v>
                </c:pt>
                <c:pt idx="6">
                  <c:v>-11.922629075026576</c:v>
                </c:pt>
                <c:pt idx="7">
                  <c:v>-10.797331539339629</c:v>
                </c:pt>
                <c:pt idx="8">
                  <c:v>-5.836880032095511</c:v>
                </c:pt>
                <c:pt idx="9">
                  <c:v>-3.7627829047066941</c:v>
                </c:pt>
                <c:pt idx="10">
                  <c:v>-2.5525690427837056</c:v>
                </c:pt>
                <c:pt idx="11">
                  <c:v>-1.7360048013885749</c:v>
                </c:pt>
                <c:pt idx="12">
                  <c:v>-1.1374899148524404</c:v>
                </c:pt>
                <c:pt idx="13">
                  <c:v>-0.67456900468038272</c:v>
                </c:pt>
                <c:pt idx="14">
                  <c:v>-0.30273045545846322</c:v>
                </c:pt>
                <c:pt idx="15">
                  <c:v>4.4451382872929147E-3</c:v>
                </c:pt>
                <c:pt idx="16">
                  <c:v>0.43970319164224941</c:v>
                </c:pt>
                <c:pt idx="17">
                  <c:v>0.77798555389377955</c:v>
                </c:pt>
                <c:pt idx="18">
                  <c:v>1.050667115165093</c:v>
                </c:pt>
                <c:pt idx="19">
                  <c:v>1.2765332479602756</c:v>
                </c:pt>
                <c:pt idx="20">
                  <c:v>1.4676092814935193</c:v>
                </c:pt>
                <c:pt idx="21">
                  <c:v>1.6319975993057125</c:v>
                </c:pt>
                <c:pt idx="22">
                  <c:v>1.7753832025868652</c:v>
                </c:pt>
                <c:pt idx="23">
                  <c:v>1.901888393008172</c:v>
                </c:pt>
                <c:pt idx="24">
                  <c:v>2.0145849548907258</c:v>
                </c:pt>
                <c:pt idx="25">
                  <c:v>2.1158150558386248</c:v>
                </c:pt>
                <c:pt idx="26">
                  <c:v>2.2073999359702063</c:v>
                </c:pt>
                <c:pt idx="27">
                  <c:v>2.2907799919761223</c:v>
                </c:pt>
                <c:pt idx="28">
                  <c:v>2.3671114101100619</c:v>
                </c:pt>
                <c:pt idx="29">
                  <c:v>2.4373344276145086</c:v>
                </c:pt>
                <c:pt idx="30">
                  <c:v>2.5022225691436466</c:v>
                </c:pt>
                <c:pt idx="31">
                  <c:v>2.5624188230180849</c:v>
                </c:pt>
                <c:pt idx="32">
                  <c:v>2.6184626634164978</c:v>
                </c:pt>
                <c:pt idx="33">
                  <c:v>2.6708105358123126</c:v>
                </c:pt>
                <c:pt idx="34">
                  <c:v>2.7198515958211247</c:v>
                </c:pt>
                <c:pt idx="35">
                  <c:v>2.7659199487761654</c:v>
                </c:pt>
                <c:pt idx="36">
                  <c:v>2.8093042738233263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DB-444B-9002-99B26C5A5A1A}"/>
            </c:ext>
          </c:extLst>
        </c:ser>
        <c:ser>
          <c:idx val="1"/>
          <c:order val="1"/>
          <c:tx>
            <c:strRef>
              <c:f>'IG hedging'!$C$44:$C$45</c:f>
              <c:strCache>
                <c:ptCount val="2"/>
                <c:pt idx="0">
                  <c:v>Delta IG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hedging'!$A$46:$A$82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hedging'!$C$46:$C$82</c:f>
              <c:numCache>
                <c:formatCode>#,##0.0000_);[Red]\(#,##0.0000\)</c:formatCode>
                <c:ptCount val="37"/>
                <c:pt idx="0">
                  <c:v>-44.865565665884695</c:v>
                </c:pt>
                <c:pt idx="1">
                  <c:v>-27.982971434372974</c:v>
                </c:pt>
                <c:pt idx="2">
                  <c:v>-21.386377147498379</c:v>
                </c:pt>
                <c:pt idx="3">
                  <c:v>-17.626131739163</c:v>
                </c:pt>
                <c:pt idx="4">
                  <c:v>-15.119423956252067</c:v>
                </c:pt>
                <c:pt idx="5">
                  <c:v>-13.295660726737815</c:v>
                </c:pt>
                <c:pt idx="6">
                  <c:v>-11.892147013491799</c:v>
                </c:pt>
                <c:pt idx="7">
                  <c:v>-10.768876431688653</c:v>
                </c:pt>
                <c:pt idx="8">
                  <c:v>-5.8173599892866301</c:v>
                </c:pt>
                <c:pt idx="9">
                  <c:v>-3.7469988509090868</c:v>
                </c:pt>
                <c:pt idx="10">
                  <c:v>-2.5389648992852503</c:v>
                </c:pt>
                <c:pt idx="11">
                  <c:v>-1.723871502718247</c:v>
                </c:pt>
                <c:pt idx="12">
                  <c:v>-1.1264346973431421</c:v>
                </c:pt>
                <c:pt idx="13">
                  <c:v>-0.66434762827266725</c:v>
                </c:pt>
                <c:pt idx="14">
                  <c:v>-0.29317885710285335</c:v>
                </c:pt>
                <c:pt idx="15">
                  <c:v>1.3443433411529458E-2</c:v>
                </c:pt>
                <c:pt idx="16">
                  <c:v>0.44791747367330481</c:v>
                </c:pt>
                <c:pt idx="17">
                  <c:v>0.78559050130333119</c:v>
                </c:pt>
                <c:pt idx="18">
                  <c:v>1.0577808920778369</c:v>
                </c:pt>
                <c:pt idx="19">
                  <c:v>1.283240181153408</c:v>
                </c:pt>
                <c:pt idx="20">
                  <c:v>1.4739720369949847</c:v>
                </c:pt>
                <c:pt idx="21">
                  <c:v>1.6380642486408765</c:v>
                </c:pt>
                <c:pt idx="22">
                  <c:v>1.7811915771136033</c:v>
                </c:pt>
                <c:pt idx="23">
                  <c:v>1.9074688987456221</c:v>
                </c:pt>
                <c:pt idx="24">
                  <c:v>2.0199624647745869</c:v>
                </c:pt>
                <c:pt idx="25">
                  <c:v>2.1210102239508504</c:v>
                </c:pt>
                <c:pt idx="26">
                  <c:v>2.212430135865056</c:v>
                </c:pt>
                <c:pt idx="27">
                  <c:v>2.2956600026783427</c:v>
                </c:pt>
                <c:pt idx="28">
                  <c:v>2.3718539280518915</c:v>
                </c:pt>
                <c:pt idx="29">
                  <c:v>2.4419504556160789</c:v>
                </c:pt>
                <c:pt idx="30">
                  <c:v>2.5067217167057647</c:v>
                </c:pt>
                <c:pt idx="31">
                  <c:v>2.5668095414521623</c:v>
                </c:pt>
                <c:pt idx="32">
                  <c:v>2.6227524323004729</c:v>
                </c:pt>
                <c:pt idx="33">
                  <c:v>2.6750060125469708</c:v>
                </c:pt>
                <c:pt idx="34">
                  <c:v>2.7239587368366527</c:v>
                </c:pt>
                <c:pt idx="35">
                  <c:v>2.7699441086920453</c:v>
                </c:pt>
                <c:pt idx="36">
                  <c:v>2.8132502872727287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DB-444B-9002-99B26C5A5A1A}"/>
            </c:ext>
          </c:extLst>
        </c:ser>
        <c:ser>
          <c:idx val="2"/>
          <c:order val="2"/>
          <c:tx>
            <c:strRef>
              <c:f>'IG hedging'!$D$44:$D$45</c:f>
              <c:strCache>
                <c:ptCount val="2"/>
                <c:pt idx="0">
                  <c:v>Delta IG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hedging'!$A$46:$A$82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hedging'!$D$46:$D$82</c:f>
              <c:numCache>
                <c:formatCode>#,##0.0000_);[Red]\(#,##0.0000\)</c:formatCode>
                <c:ptCount val="37"/>
                <c:pt idx="0">
                  <c:v>-44.715954120120927</c:v>
                </c:pt>
                <c:pt idx="1">
                  <c:v>-27.884012698534253</c:v>
                </c:pt>
                <c:pt idx="2">
                  <c:v>-21.307210158827402</c:v>
                </c:pt>
                <c:pt idx="3">
                  <c:v>-17.558246606427669</c:v>
                </c:pt>
                <c:pt idx="4">
                  <c:v>-15.059059693302762</c:v>
                </c:pt>
                <c:pt idx="5">
                  <c:v>-13.240768296549872</c:v>
                </c:pt>
                <c:pt idx="6">
                  <c:v>-11.841465542376225</c:v>
                </c:pt>
                <c:pt idx="7">
                  <c:v>-10.721565106801451</c:v>
                </c:pt>
                <c:pt idx="8">
                  <c:v>-5.7849046881691395</c:v>
                </c:pt>
                <c:pt idx="9">
                  <c:v>-3.7207552497104812</c:v>
                </c:pt>
                <c:pt idx="10">
                  <c:v>-2.5163457596649708</c:v>
                </c:pt>
                <c:pt idx="11">
                  <c:v>-1.703697886002878</c:v>
                </c:pt>
                <c:pt idx="12">
                  <c:v>-1.108053568946209</c:v>
                </c:pt>
                <c:pt idx="13">
                  <c:v>-0.64735289868136126</c:v>
                </c:pt>
                <c:pt idx="14">
                  <c:v>-0.27729774435018928</c:v>
                </c:pt>
                <c:pt idx="15">
                  <c:v>2.8404587987906731E-2</c:v>
                </c:pt>
                <c:pt idx="16">
                  <c:v>0.46157507675297699</c:v>
                </c:pt>
                <c:pt idx="17">
                  <c:v>0.79823498474920651</c:v>
                </c:pt>
                <c:pt idx="18">
                  <c:v>1.0696087232996372</c:v>
                </c:pt>
                <c:pt idx="19">
                  <c:v>1.2943915673716282</c:v>
                </c:pt>
                <c:pt idx="20">
                  <c:v>1.4845511708503212</c:v>
                </c:pt>
                <c:pt idx="21">
                  <c:v>1.6481510569985611</c:v>
                </c:pt>
                <c:pt idx="22">
                  <c:v>1.7908489608659932</c:v>
                </c:pt>
                <c:pt idx="23">
                  <c:v>1.9167474129307676</c:v>
                </c:pt>
                <c:pt idx="24">
                  <c:v>2.0289034647637667</c:v>
                </c:pt>
                <c:pt idx="25">
                  <c:v>2.129648050572909</c:v>
                </c:pt>
                <c:pt idx="26">
                  <c:v>2.220793675528721</c:v>
                </c:pt>
                <c:pt idx="27">
                  <c:v>2.3037738279577153</c:v>
                </c:pt>
                <c:pt idx="28">
                  <c:v>2.3797391488664252</c:v>
                </c:pt>
                <c:pt idx="29">
                  <c:v>2.4496253659748599</c:v>
                </c:pt>
                <c:pt idx="30">
                  <c:v>2.5142022939939532</c:v>
                </c:pt>
                <c:pt idx="31">
                  <c:v>2.5741098373734026</c:v>
                </c:pt>
                <c:pt idx="32">
                  <c:v>2.6298848828907211</c:v>
                </c:pt>
                <c:pt idx="33">
                  <c:v>2.6819816868366195</c:v>
                </c:pt>
                <c:pt idx="34">
                  <c:v>2.7307875383764881</c:v>
                </c:pt>
                <c:pt idx="35">
                  <c:v>2.7766349404229769</c:v>
                </c:pt>
                <c:pt idx="36">
                  <c:v>2.8198111875723799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DB-444B-9002-99B26C5A5A1A}"/>
            </c:ext>
          </c:extLst>
        </c:ser>
        <c:ser>
          <c:idx val="3"/>
          <c:order val="3"/>
          <c:tx>
            <c:strRef>
              <c:f>'IG hedging'!$E$44:$E$45</c:f>
              <c:strCache>
                <c:ptCount val="2"/>
                <c:pt idx="0">
                  <c:v>Delta IG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hedging'!$A$46:$A$82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hedging'!$E$46:$E$82</c:f>
              <c:numCache>
                <c:formatCode>#,##0.0000_);[Red]\(#,##0.0000\)</c:formatCode>
                <c:ptCount val="37"/>
                <c:pt idx="0">
                  <c:v>-44.507251771274873</c:v>
                </c:pt>
                <c:pt idx="1">
                  <c:v>-27.745969070263818</c:v>
                </c:pt>
                <c:pt idx="2">
                  <c:v>-21.196775256211051</c:v>
                </c:pt>
                <c:pt idx="3">
                  <c:v>-17.463549458682394</c:v>
                </c:pt>
                <c:pt idx="4">
                  <c:v>-14.974853869483693</c:v>
                </c:pt>
                <c:pt idx="5">
                  <c:v>-13.164195468860619</c:v>
                </c:pt>
                <c:pt idx="6">
                  <c:v>-11.770766840542771</c:v>
                </c:pt>
                <c:pt idx="7">
                  <c:v>-10.655567629263393</c:v>
                </c:pt>
                <c:pt idx="8">
                  <c:v>-5.7396307920861327</c:v>
                </c:pt>
                <c:pt idx="9">
                  <c:v>-3.6841464359697493</c:v>
                </c:pt>
                <c:pt idx="10">
                  <c:v>-2.484792930346015</c:v>
                </c:pt>
                <c:pt idx="11">
                  <c:v>-1.6755564670253225</c:v>
                </c:pt>
                <c:pt idx="12">
                  <c:v>-1.0824126021926261</c:v>
                </c:pt>
                <c:pt idx="13">
                  <c:v>-0.62364590490890426</c:v>
                </c:pt>
                <c:pt idx="14">
                  <c:v>-0.25514420321237263</c:v>
                </c:pt>
                <c:pt idx="15">
                  <c:v>4.9274822872513162E-2</c:v>
                </c:pt>
                <c:pt idx="16">
                  <c:v>0.48062690746419401</c:v>
                </c:pt>
                <c:pt idx="17">
                  <c:v>0.81587355255911587</c:v>
                </c:pt>
                <c:pt idx="18">
                  <c:v>1.0861080926841518</c:v>
                </c:pt>
                <c:pt idx="19">
                  <c:v>1.3099473220077511</c:v>
                </c:pt>
                <c:pt idx="20">
                  <c:v>1.4993086554621824</c:v>
                </c:pt>
                <c:pt idx="21">
                  <c:v>1.6622217664873389</c:v>
                </c:pt>
                <c:pt idx="22">
                  <c:v>1.8043206395559133</c:v>
                </c:pt>
                <c:pt idx="23">
                  <c:v>1.9296905831544007</c:v>
                </c:pt>
                <c:pt idx="24">
                  <c:v>2.0413758156725721</c:v>
                </c:pt>
                <c:pt idx="25">
                  <c:v>2.1416974863015881</c:v>
                </c:pt>
                <c:pt idx="26">
                  <c:v>2.232460491505813</c:v>
                </c:pt>
                <c:pt idx="27">
                  <c:v>2.315092301978467</c:v>
                </c:pt>
                <c:pt idx="28">
                  <c:v>2.3907387284561015</c:v>
                </c:pt>
                <c:pt idx="29">
                  <c:v>2.4603315705721291</c:v>
                </c:pt>
                <c:pt idx="30">
                  <c:v>2.5246374114362564</c:v>
                </c:pt>
                <c:pt idx="31">
                  <c:v>2.5842934692465733</c:v>
                </c:pt>
                <c:pt idx="32">
                  <c:v>2.6398343769863413</c:v>
                </c:pt>
                <c:pt idx="33">
                  <c:v>2.6917124840261195</c:v>
                </c:pt>
                <c:pt idx="34">
                  <c:v>2.7403134537320972</c:v>
                </c:pt>
                <c:pt idx="35">
                  <c:v>2.7859683932046511</c:v>
                </c:pt>
                <c:pt idx="36">
                  <c:v>2.8289633910075631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DB-444B-9002-99B26C5A5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LP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'IG hedging'!$H$44:$H$45</c:f>
              <c:strCache>
                <c:ptCount val="2"/>
                <c:pt idx="0">
                  <c:v>Delta LP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hedging'!$G$46:$G$82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hedging'!$H$46:$H$82</c:f>
              <c:numCache>
                <c:formatCode>#,##0.0000_);[Red]\(#,##0.0000\)</c:formatCode>
                <c:ptCount val="37"/>
                <c:pt idx="0">
                  <c:v>49.955548617127072</c:v>
                </c:pt>
                <c:pt idx="1">
                  <c:v>33.042489562178716</c:v>
                </c:pt>
                <c:pt idx="2">
                  <c:v>26.433991649742968</c:v>
                </c:pt>
                <c:pt idx="3">
                  <c:v>22.66696083799906</c:v>
                </c:pt>
                <c:pt idx="4">
                  <c:v>20.155729673849063</c:v>
                </c:pt>
                <c:pt idx="5">
                  <c:v>18.328675443910615</c:v>
                </c:pt>
                <c:pt idx="6">
                  <c:v>16.922629075026578</c:v>
                </c:pt>
                <c:pt idx="7">
                  <c:v>15.797331539339629</c:v>
                </c:pt>
                <c:pt idx="8">
                  <c:v>10.836880032095511</c:v>
                </c:pt>
                <c:pt idx="9">
                  <c:v>8.7627829047066932</c:v>
                </c:pt>
                <c:pt idx="10">
                  <c:v>7.5525690427837064</c:v>
                </c:pt>
                <c:pt idx="11">
                  <c:v>6.7360048013885745</c:v>
                </c:pt>
                <c:pt idx="12">
                  <c:v>6.1374899148524404</c:v>
                </c:pt>
                <c:pt idx="13">
                  <c:v>5.6745690046803832</c:v>
                </c:pt>
                <c:pt idx="14">
                  <c:v>5.3027304554584633</c:v>
                </c:pt>
                <c:pt idx="15">
                  <c:v>4.9955548617127068</c:v>
                </c:pt>
                <c:pt idx="16">
                  <c:v>4.5602968083577506</c:v>
                </c:pt>
                <c:pt idx="17">
                  <c:v>4.222014446106221</c:v>
                </c:pt>
                <c:pt idx="18">
                  <c:v>3.9493328848349072</c:v>
                </c:pt>
                <c:pt idx="19">
                  <c:v>3.7234667520397249</c:v>
                </c:pt>
                <c:pt idx="20">
                  <c:v>3.5323907185064805</c:v>
                </c:pt>
                <c:pt idx="21">
                  <c:v>3.3680024006942872</c:v>
                </c:pt>
                <c:pt idx="22">
                  <c:v>3.2246167974131348</c:v>
                </c:pt>
                <c:pt idx="23">
                  <c:v>3.0981116069918282</c:v>
                </c:pt>
                <c:pt idx="24">
                  <c:v>2.9854150451092738</c:v>
                </c:pt>
                <c:pt idx="25">
                  <c:v>2.8841849441613756</c:v>
                </c:pt>
                <c:pt idx="26">
                  <c:v>2.7926000640297937</c:v>
                </c:pt>
                <c:pt idx="27">
                  <c:v>2.7092200080238777</c:v>
                </c:pt>
                <c:pt idx="28">
                  <c:v>2.6328885898899386</c:v>
                </c:pt>
                <c:pt idx="29">
                  <c:v>2.5626655723854919</c:v>
                </c:pt>
                <c:pt idx="30">
                  <c:v>2.4977774308563534</c:v>
                </c:pt>
                <c:pt idx="31">
                  <c:v>2.4375811769819156</c:v>
                </c:pt>
                <c:pt idx="32">
                  <c:v>2.3815373365835022</c:v>
                </c:pt>
                <c:pt idx="33">
                  <c:v>2.3291894641876874</c:v>
                </c:pt>
                <c:pt idx="34">
                  <c:v>2.2801484041788753</c:v>
                </c:pt>
                <c:pt idx="35">
                  <c:v>2.234080051223835</c:v>
                </c:pt>
                <c:pt idx="36">
                  <c:v>2.1906957261766733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C-6748-8B97-B72814FE4BBB}"/>
            </c:ext>
          </c:extLst>
        </c:ser>
        <c:ser>
          <c:idx val="1"/>
          <c:order val="1"/>
          <c:tx>
            <c:strRef>
              <c:f>'IG hedging'!$I$44:$I$45</c:f>
              <c:strCache>
                <c:ptCount val="2"/>
                <c:pt idx="0">
                  <c:v>Delta LP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hedging'!$G$46:$G$82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hedging'!$I$46:$I$82</c:f>
              <c:numCache>
                <c:formatCode>#,##0.0000_);[Red]\(#,##0.0000\)</c:formatCode>
                <c:ptCount val="37"/>
                <c:pt idx="0">
                  <c:v>49.865565665884702</c:v>
                </c:pt>
                <c:pt idx="1">
                  <c:v>32.982971434372978</c:v>
                </c:pt>
                <c:pt idx="2">
                  <c:v>26.386377147498376</c:v>
                </c:pt>
                <c:pt idx="3">
                  <c:v>22.626131739163</c:v>
                </c:pt>
                <c:pt idx="4">
                  <c:v>20.119423956252071</c:v>
                </c:pt>
                <c:pt idx="5">
                  <c:v>18.295660726737815</c:v>
                </c:pt>
                <c:pt idx="6">
                  <c:v>16.892147013491801</c:v>
                </c:pt>
                <c:pt idx="7">
                  <c:v>15.768876431688653</c:v>
                </c:pt>
                <c:pt idx="8">
                  <c:v>10.817359989286631</c:v>
                </c:pt>
                <c:pt idx="9">
                  <c:v>8.7469988509090868</c:v>
                </c:pt>
                <c:pt idx="10">
                  <c:v>7.5389648992852516</c:v>
                </c:pt>
                <c:pt idx="11">
                  <c:v>6.7238715027182465</c:v>
                </c:pt>
                <c:pt idx="12">
                  <c:v>6.1264346973431421</c:v>
                </c:pt>
                <c:pt idx="13">
                  <c:v>5.6643476282726679</c:v>
                </c:pt>
                <c:pt idx="14">
                  <c:v>5.2931788571028529</c:v>
                </c:pt>
                <c:pt idx="15">
                  <c:v>4.9865565665884706</c:v>
                </c:pt>
                <c:pt idx="16">
                  <c:v>4.5520825263266955</c:v>
                </c:pt>
                <c:pt idx="17">
                  <c:v>4.2144094986966696</c:v>
                </c:pt>
                <c:pt idx="18">
                  <c:v>3.9422191079221633</c:v>
                </c:pt>
                <c:pt idx="19">
                  <c:v>3.716759818846592</c:v>
                </c:pt>
                <c:pt idx="20">
                  <c:v>3.5260279630050149</c:v>
                </c:pt>
                <c:pt idx="21">
                  <c:v>3.3619357513591233</c:v>
                </c:pt>
                <c:pt idx="22">
                  <c:v>3.2188084228863967</c:v>
                </c:pt>
                <c:pt idx="23">
                  <c:v>3.0925311012543775</c:v>
                </c:pt>
                <c:pt idx="24">
                  <c:v>2.9800375352254131</c:v>
                </c:pt>
                <c:pt idx="25">
                  <c:v>2.8789897760491496</c:v>
                </c:pt>
                <c:pt idx="26">
                  <c:v>2.787569864134944</c:v>
                </c:pt>
                <c:pt idx="27">
                  <c:v>2.7043399973216578</c:v>
                </c:pt>
                <c:pt idx="28">
                  <c:v>2.6281460719481093</c:v>
                </c:pt>
                <c:pt idx="29">
                  <c:v>2.5580495443839215</c:v>
                </c:pt>
                <c:pt idx="30">
                  <c:v>2.4932782832942353</c:v>
                </c:pt>
                <c:pt idx="31">
                  <c:v>2.4331904585478381</c:v>
                </c:pt>
                <c:pt idx="32">
                  <c:v>2.3772475676995266</c:v>
                </c:pt>
                <c:pt idx="33">
                  <c:v>2.3249939874530292</c:v>
                </c:pt>
                <c:pt idx="34">
                  <c:v>2.2760412631633478</c:v>
                </c:pt>
                <c:pt idx="35">
                  <c:v>2.2300558913079556</c:v>
                </c:pt>
                <c:pt idx="36">
                  <c:v>2.1867497127272717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1C-6748-8B97-B72814FE4BBB}"/>
            </c:ext>
          </c:extLst>
        </c:ser>
        <c:ser>
          <c:idx val="2"/>
          <c:order val="2"/>
          <c:tx>
            <c:strRef>
              <c:f>'IG hedging'!$J$44:$J$45</c:f>
              <c:strCache>
                <c:ptCount val="2"/>
                <c:pt idx="0">
                  <c:v>Delta LP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hedging'!$G$46:$G$82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hedging'!$J$46:$J$82</c:f>
              <c:numCache>
                <c:formatCode>#,##0.0000_);[Red]\(#,##0.0000\)</c:formatCode>
                <c:ptCount val="37"/>
                <c:pt idx="0">
                  <c:v>49.715954120120934</c:v>
                </c:pt>
                <c:pt idx="1">
                  <c:v>32.884012698534256</c:v>
                </c:pt>
                <c:pt idx="2">
                  <c:v>26.307210158827399</c:v>
                </c:pt>
                <c:pt idx="3">
                  <c:v>22.558246606427673</c:v>
                </c:pt>
                <c:pt idx="4">
                  <c:v>20.059059693302764</c:v>
                </c:pt>
                <c:pt idx="5">
                  <c:v>18.240768296549874</c:v>
                </c:pt>
                <c:pt idx="6">
                  <c:v>16.841465542376227</c:v>
                </c:pt>
                <c:pt idx="7">
                  <c:v>15.721565106801451</c:v>
                </c:pt>
                <c:pt idx="8">
                  <c:v>10.78490468816914</c:v>
                </c:pt>
                <c:pt idx="9">
                  <c:v>8.7207552497104803</c:v>
                </c:pt>
                <c:pt idx="10">
                  <c:v>7.5163457596649721</c:v>
                </c:pt>
                <c:pt idx="11">
                  <c:v>6.7036978860028773</c:v>
                </c:pt>
                <c:pt idx="12">
                  <c:v>6.1080535689462101</c:v>
                </c:pt>
                <c:pt idx="13">
                  <c:v>5.6473528986813619</c:v>
                </c:pt>
                <c:pt idx="14">
                  <c:v>5.2772977443501903</c:v>
                </c:pt>
                <c:pt idx="15">
                  <c:v>4.9715954120120935</c:v>
                </c:pt>
                <c:pt idx="16">
                  <c:v>4.5384249232470228</c:v>
                </c:pt>
                <c:pt idx="17">
                  <c:v>4.2017650152507935</c:v>
                </c:pt>
                <c:pt idx="18">
                  <c:v>3.9303912767003628</c:v>
                </c:pt>
                <c:pt idx="19">
                  <c:v>3.705608432628372</c:v>
                </c:pt>
                <c:pt idx="20">
                  <c:v>3.5154488291496788</c:v>
                </c:pt>
                <c:pt idx="21">
                  <c:v>3.3518489430014387</c:v>
                </c:pt>
                <c:pt idx="22">
                  <c:v>3.2091510391340066</c:v>
                </c:pt>
                <c:pt idx="23">
                  <c:v>3.0832525870692327</c:v>
                </c:pt>
                <c:pt idx="24">
                  <c:v>2.9710965352362333</c:v>
                </c:pt>
                <c:pt idx="25">
                  <c:v>2.870351949427091</c:v>
                </c:pt>
                <c:pt idx="26">
                  <c:v>2.779206324471279</c:v>
                </c:pt>
                <c:pt idx="27">
                  <c:v>2.6962261720422851</c:v>
                </c:pt>
                <c:pt idx="28">
                  <c:v>2.6202608511335757</c:v>
                </c:pt>
                <c:pt idx="29">
                  <c:v>2.5503746340251405</c:v>
                </c:pt>
                <c:pt idx="30">
                  <c:v>2.4857977060060468</c:v>
                </c:pt>
                <c:pt idx="31">
                  <c:v>2.4258901626265978</c:v>
                </c:pt>
                <c:pt idx="32">
                  <c:v>2.3701151171092789</c:v>
                </c:pt>
                <c:pt idx="33">
                  <c:v>2.3180183131633805</c:v>
                </c:pt>
                <c:pt idx="34">
                  <c:v>2.2692124616235114</c:v>
                </c:pt>
                <c:pt idx="35">
                  <c:v>2.2233650595770231</c:v>
                </c:pt>
                <c:pt idx="36">
                  <c:v>2.1801888124276201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C-6748-8B97-B72814FE4BBB}"/>
            </c:ext>
          </c:extLst>
        </c:ser>
        <c:ser>
          <c:idx val="3"/>
          <c:order val="3"/>
          <c:tx>
            <c:strRef>
              <c:f>'IG hedging'!$K$44:$K$45</c:f>
              <c:strCache>
                <c:ptCount val="2"/>
                <c:pt idx="0">
                  <c:v>Delta LP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hedging'!$G$46:$G$82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hedging'!$K$46:$K$82</c:f>
              <c:numCache>
                <c:formatCode>#,##0.0000_);[Red]\(#,##0.0000\)</c:formatCode>
                <c:ptCount val="37"/>
                <c:pt idx="0">
                  <c:v>49.507251771274866</c:v>
                </c:pt>
                <c:pt idx="1">
                  <c:v>32.745969070263818</c:v>
                </c:pt>
                <c:pt idx="2">
                  <c:v>26.196775256211051</c:v>
                </c:pt>
                <c:pt idx="3">
                  <c:v>22.463549458682397</c:v>
                </c:pt>
                <c:pt idx="4">
                  <c:v>19.974853869483695</c:v>
                </c:pt>
                <c:pt idx="5">
                  <c:v>18.164195468860623</c:v>
                </c:pt>
                <c:pt idx="6">
                  <c:v>16.770766840542773</c:v>
                </c:pt>
                <c:pt idx="7">
                  <c:v>15.655567629263393</c:v>
                </c:pt>
                <c:pt idx="8">
                  <c:v>10.739630792086134</c:v>
                </c:pt>
                <c:pt idx="9">
                  <c:v>8.6841464359697493</c:v>
                </c:pt>
                <c:pt idx="10">
                  <c:v>7.4847929303460159</c:v>
                </c:pt>
                <c:pt idx="11">
                  <c:v>6.6755564670253218</c:v>
                </c:pt>
                <c:pt idx="12">
                  <c:v>6.082412602192627</c:v>
                </c:pt>
                <c:pt idx="13">
                  <c:v>5.6236459049089049</c:v>
                </c:pt>
                <c:pt idx="14">
                  <c:v>5.2551442032123727</c:v>
                </c:pt>
                <c:pt idx="15">
                  <c:v>4.9507251771274872</c:v>
                </c:pt>
                <c:pt idx="16">
                  <c:v>4.5193730925358055</c:v>
                </c:pt>
                <c:pt idx="17">
                  <c:v>4.1841264474408844</c:v>
                </c:pt>
                <c:pt idx="18">
                  <c:v>3.9138919073158482</c:v>
                </c:pt>
                <c:pt idx="19">
                  <c:v>3.6900526779922491</c:v>
                </c:pt>
                <c:pt idx="20">
                  <c:v>3.5006913445378172</c:v>
                </c:pt>
                <c:pt idx="21">
                  <c:v>3.3377782335126609</c:v>
                </c:pt>
                <c:pt idx="22">
                  <c:v>3.1956793604440867</c:v>
                </c:pt>
                <c:pt idx="23">
                  <c:v>3.0703094168455993</c:v>
                </c:pt>
                <c:pt idx="24">
                  <c:v>2.9586241843274279</c:v>
                </c:pt>
                <c:pt idx="25">
                  <c:v>2.8583025136984124</c:v>
                </c:pt>
                <c:pt idx="26">
                  <c:v>2.767539508494187</c:v>
                </c:pt>
                <c:pt idx="27">
                  <c:v>2.6849076980215334</c:v>
                </c:pt>
                <c:pt idx="28">
                  <c:v>2.609261271543899</c:v>
                </c:pt>
                <c:pt idx="29">
                  <c:v>2.5396684294278709</c:v>
                </c:pt>
                <c:pt idx="30">
                  <c:v>2.4753625885637436</c:v>
                </c:pt>
                <c:pt idx="31">
                  <c:v>2.4157065307534276</c:v>
                </c:pt>
                <c:pt idx="32">
                  <c:v>2.3601656230136583</c:v>
                </c:pt>
                <c:pt idx="33">
                  <c:v>2.30828751597388</c:v>
                </c:pt>
                <c:pt idx="34">
                  <c:v>2.2596865462679028</c:v>
                </c:pt>
                <c:pt idx="35">
                  <c:v>2.2140316067953498</c:v>
                </c:pt>
                <c:pt idx="36">
                  <c:v>2.1710366089924373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1C-6748-8B97-B72814FE4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tickMarkSkip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IG Payoff - Premium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'IG hedging'!$B$127</c:f>
              <c:strCache>
                <c:ptCount val="1"/>
                <c:pt idx="0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hedging'!$A$128:$A$164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hedging'!$B$128:$B$164</c:f>
              <c:numCache>
                <c:formatCode>0</c:formatCode>
                <c:ptCount val="37"/>
                <c:pt idx="0">
                  <c:v>4041.9987510828723</c:v>
                </c:pt>
                <c:pt idx="1">
                  <c:v>3594.8816291543876</c:v>
                </c:pt>
                <c:pt idx="2">
                  <c:v>3281.5388913009169</c:v>
                </c:pt>
                <c:pt idx="3">
                  <c:v>3032.0335277340764</c:v>
                </c:pt>
                <c:pt idx="4">
                  <c:v>2821.9772206382431</c:v>
                </c:pt>
                <c:pt idx="5">
                  <c:v>2639.4208003301228</c:v>
                </c:pt>
                <c:pt idx="6">
                  <c:v>2477.4515132064967</c:v>
                </c:pt>
                <c:pt idx="7">
                  <c:v>2331.6434155574884</c:v>
                </c:pt>
                <c:pt idx="8">
                  <c:v>1447.9357097848213</c:v>
                </c:pt>
                <c:pt idx="9">
                  <c:v>920.30083536606242</c:v>
                </c:pt>
                <c:pt idx="10">
                  <c:v>570.11181098967188</c:v>
                </c:pt>
                <c:pt idx="11">
                  <c:v>331.50444189798179</c:v>
                </c:pt>
                <c:pt idx="12">
                  <c:v>171.43558624593047</c:v>
                </c:pt>
                <c:pt idx="13">
                  <c:v>70.527766170821451</c:v>
                </c:pt>
                <c:pt idx="14">
                  <c:v>16.263164986641819</c:v>
                </c:pt>
                <c:pt idx="15">
                  <c:v>0</c:v>
                </c:pt>
                <c:pt idx="16">
                  <c:v>46.39738336681409</c:v>
                </c:pt>
                <c:pt idx="17">
                  <c:v>169.46927432799575</c:v>
                </c:pt>
                <c:pt idx="18">
                  <c:v>353.24449195370812</c:v>
                </c:pt>
                <c:pt idx="19">
                  <c:v>586.62941608240476</c:v>
                </c:pt>
                <c:pt idx="20">
                  <c:v>861.54684939949038</c:v>
                </c:pt>
                <c:pt idx="21">
                  <c:v>1171.899160370551</c:v>
                </c:pt>
                <c:pt idx="22">
                  <c:v>1512.9490958423642</c:v>
                </c:pt>
                <c:pt idx="23">
                  <c:v>1880.9293670679074</c:v>
                </c:pt>
                <c:pt idx="24">
                  <c:v>2272.7854708134787</c:v>
                </c:pt>
                <c:pt idx="25">
                  <c:v>2686.0000584571653</c:v>
                </c:pt>
                <c:pt idx="26">
                  <c:v>3118.4693136347373</c:v>
                </c:pt>
                <c:pt idx="27">
                  <c:v>3568.4136688630419</c:v>
                </c:pt>
                <c:pt idx="28">
                  <c:v>4034.3118762178574</c:v>
                </c:pt>
                <c:pt idx="29">
                  <c:v>4514.8513732956808</c:v>
                </c:pt>
                <c:pt idx="30">
                  <c:v>5008.890276574587</c:v>
                </c:pt>
                <c:pt idx="31">
                  <c:v>5515.427836777324</c:v>
                </c:pt>
                <c:pt idx="32">
                  <c:v>6033.5811614905933</c:v>
                </c:pt>
                <c:pt idx="33">
                  <c:v>6562.5666528986894</c:v>
                </c:pt>
                <c:pt idx="34">
                  <c:v>7101.6850433082145</c:v>
                </c:pt>
                <c:pt idx="35">
                  <c:v>7650.3092111870646</c:v>
                </c:pt>
                <c:pt idx="36">
                  <c:v>8207.8741711880102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C-184C-9803-4734208B37FF}"/>
            </c:ext>
          </c:extLst>
        </c:ser>
        <c:ser>
          <c:idx val="1"/>
          <c:order val="1"/>
          <c:tx>
            <c:strRef>
              <c:f>'IG hedging'!$C$127</c:f>
              <c:strCache>
                <c:ptCount val="1"/>
                <c:pt idx="0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hedging'!$A$128:$A$164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hedging'!$C$128:$C$164</c:f>
              <c:numCache>
                <c:formatCode>0</c:formatCode>
                <c:ptCount val="37"/>
                <c:pt idx="0">
                  <c:v>4025.8018198592467</c:v>
                </c:pt>
                <c:pt idx="1">
                  <c:v>3579.6058676056055</c:v>
                </c:pt>
                <c:pt idx="2">
                  <c:v>3266.9433369270573</c:v>
                </c:pt>
                <c:pt idx="3">
                  <c:v>3018.0031928011063</c:v>
                </c:pt>
                <c:pt idx="4">
                  <c:v>2808.4410471231149</c:v>
                </c:pt>
                <c:pt idx="5">
                  <c:v>2626.3292537758944</c:v>
                </c:pt>
                <c:pt idx="6">
                  <c:v>2464.767510825513</c:v>
                </c:pt>
                <c:pt idx="7">
                  <c:v>2319.3378468392102</c:v>
                </c:pt>
                <c:pt idx="8">
                  <c:v>1438.2351377301216</c:v>
                </c:pt>
                <c:pt idx="9">
                  <c:v>912.56388008603244</c:v>
                </c:pt>
                <c:pt idx="10">
                  <c:v>564.01884630234542</c:v>
                </c:pt>
                <c:pt idx="11">
                  <c:v>326.85448018686895</c:v>
                </c:pt>
                <c:pt idx="12">
                  <c:v>168.08715919727769</c:v>
                </c:pt>
                <c:pt idx="13">
                  <c:v>68.374309354307655</c:v>
                </c:pt>
                <c:pt idx="14">
                  <c:v>15.220661819376204</c:v>
                </c:pt>
                <c:pt idx="15">
                  <c:v>0</c:v>
                </c:pt>
                <c:pt idx="16">
                  <c:v>48.1150699928723</c:v>
                </c:pt>
                <c:pt idx="17">
                  <c:v>172.76653682626653</c:v>
                </c:pt>
                <c:pt idx="18">
                  <c:v>358.01198782601574</c:v>
                </c:pt>
                <c:pt idx="19">
                  <c:v>592.77778532920934</c:v>
                </c:pt>
                <c:pt idx="20">
                  <c:v>869.00128115687926</c:v>
                </c:pt>
                <c:pt idx="21">
                  <c:v>1180.5958271967986</c:v>
                </c:pt>
                <c:pt idx="22">
                  <c:v>1522.8327033222333</c:v>
                </c:pt>
                <c:pt idx="23">
                  <c:v>1891.9514066541765</c:v>
                </c:pt>
                <c:pt idx="24">
                  <c:v>2284.9029359146271</c:v>
                </c:pt>
                <c:pt idx="25">
                  <c:v>2699.1744768820458</c:v>
                </c:pt>
                <c:pt idx="26">
                  <c:v>3132.6660027133016</c:v>
                </c:pt>
                <c:pt idx="27">
                  <c:v>3583.6011513896651</c:v>
                </c:pt>
                <c:pt idx="28">
                  <c:v>4050.4614151505539</c:v>
                </c:pt>
                <c:pt idx="29">
                  <c:v>4531.9365958591397</c:v>
                </c:pt>
                <c:pt idx="30">
                  <c:v>5026.8868668230598</c:v>
                </c:pt>
                <c:pt idx="31">
                  <c:v>5534.3132813751063</c:v>
                </c:pt>
                <c:pt idx="32">
                  <c:v>6053.3345374211031</c:v>
                </c:pt>
                <c:pt idx="33">
                  <c:v>6583.1684486090699</c:v>
                </c:pt>
                <c:pt idx="34">
                  <c:v>7123.117006808804</c:v>
                </c:pt>
                <c:pt idx="35">
                  <c:v>7672.554220097386</c:v>
                </c:pt>
                <c:pt idx="36">
                  <c:v>8230.9161208133119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6C-184C-9803-4734208B37FF}"/>
            </c:ext>
          </c:extLst>
        </c:ser>
        <c:ser>
          <c:idx val="2"/>
          <c:order val="2"/>
          <c:tx>
            <c:strRef>
              <c:f>'IG hedging'!$D$127</c:f>
              <c:strCache>
                <c:ptCount val="1"/>
                <c:pt idx="0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hedging'!$A$128:$A$164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hedging'!$D$128:$D$164</c:f>
              <c:numCache>
                <c:formatCode>0</c:formatCode>
                <c:ptCount val="37"/>
                <c:pt idx="0">
                  <c:v>3998.8717416217683</c:v>
                </c:pt>
                <c:pt idx="1">
                  <c:v>3554.2073863769074</c:v>
                </c:pt>
                <c:pt idx="2">
                  <c:v>3242.6758126793734</c:v>
                </c:pt>
                <c:pt idx="3">
                  <c:v>2994.675439399784</c:v>
                </c:pt>
                <c:pt idx="4">
                  <c:v>2785.9349188469905</c:v>
                </c:pt>
                <c:pt idx="5">
                  <c:v>2604.5623913939203</c:v>
                </c:pt>
                <c:pt idx="6">
                  <c:v>2443.6782580671884</c:v>
                </c:pt>
                <c:pt idx="7">
                  <c:v>2298.8778026638965</c:v>
                </c:pt>
                <c:pt idx="8">
                  <c:v>1422.106331552302</c:v>
                </c:pt>
                <c:pt idx="9">
                  <c:v>899.69991171237393</c:v>
                </c:pt>
                <c:pt idx="10">
                  <c:v>553.88828431733646</c:v>
                </c:pt>
                <c:pt idx="11">
                  <c:v>319.12314942102114</c:v>
                </c:pt>
                <c:pt idx="12">
                  <c:v>162.51984517045904</c:v>
                </c:pt>
                <c:pt idx="13">
                  <c:v>64.793831068078447</c:v>
                </c:pt>
                <c:pt idx="14">
                  <c:v>13.48732780259931</c:v>
                </c:pt>
                <c:pt idx="15">
                  <c:v>0</c:v>
                </c:pt>
                <c:pt idx="16">
                  <c:v>50.971008231330828</c:v>
                </c:pt>
                <c:pt idx="17">
                  <c:v>178.24878132196574</c:v>
                </c:pt>
                <c:pt idx="18">
                  <c:v>365.9387385830226</c:v>
                </c:pt>
                <c:pt idx="19">
                  <c:v>603.00046656204927</c:v>
                </c:pt>
                <c:pt idx="20">
                  <c:v>881.3955074254709</c:v>
                </c:pt>
                <c:pt idx="21">
                  <c:v>1195.0554748178565</c:v>
                </c:pt>
                <c:pt idx="22">
                  <c:v>1539.2658361809542</c:v>
                </c:pt>
                <c:pt idx="23">
                  <c:v>1910.2773712641774</c:v>
                </c:pt>
                <c:pt idx="24">
                  <c:v>2305.0502267012816</c:v>
                </c:pt>
                <c:pt idx="25">
                  <c:v>2721.0791274616449</c:v>
                </c:pt>
                <c:pt idx="26">
                  <c:v>3156.2703474080031</c:v>
                </c:pt>
                <c:pt idx="27">
                  <c:v>3608.8528541366459</c:v>
                </c:pt>
                <c:pt idx="28">
                  <c:v>4077.312695862443</c:v>
                </c:pt>
                <c:pt idx="29">
                  <c:v>4560.3436054331214</c:v>
                </c:pt>
                <c:pt idx="30">
                  <c:v>5056.8091759758145</c:v>
                </c:pt>
                <c:pt idx="31">
                  <c:v>5565.7134579607682</c:v>
                </c:pt>
                <c:pt idx="32">
                  <c:v>6086.1777934625334</c:v>
                </c:pt>
                <c:pt idx="33">
                  <c:v>6617.4223429210842</c:v>
                </c:pt>
                <c:pt idx="34">
                  <c:v>7158.7511924384753</c:v>
                </c:pt>
                <c:pt idx="35">
                  <c:v>7709.5402282539571</c:v>
                </c:pt>
                <c:pt idx="36">
                  <c:v>8269.2271747769355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6C-184C-9803-4734208B37FF}"/>
            </c:ext>
          </c:extLst>
        </c:ser>
        <c:ser>
          <c:idx val="3"/>
          <c:order val="3"/>
          <c:tx>
            <c:strRef>
              <c:f>'IG hedging'!$E$127</c:f>
              <c:strCache>
                <c:ptCount val="1"/>
                <c:pt idx="0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hedging'!$A$128:$A$164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hedging'!$E$128:$E$164</c:f>
              <c:numCache>
                <c:formatCode>0</c:formatCode>
                <c:ptCount val="37"/>
                <c:pt idx="0">
                  <c:v>3961.3053188294762</c:v>
                </c:pt>
                <c:pt idx="1">
                  <c:v>3518.7774824714857</c:v>
                </c:pt>
                <c:pt idx="2">
                  <c:v>3208.8235502398993</c:v>
                </c:pt>
                <c:pt idx="3">
                  <c:v>2962.1341211258255</c:v>
                </c:pt>
                <c:pt idx="4">
                  <c:v>2754.5397360041193</c:v>
                </c:pt>
                <c:pt idx="5">
                  <c:v>2574.1984560242531</c:v>
                </c:pt>
                <c:pt idx="6">
                  <c:v>2414.2595620460902</c:v>
                </c:pt>
                <c:pt idx="7">
                  <c:v>2270.3368284022949</c:v>
                </c:pt>
                <c:pt idx="8">
                  <c:v>1399.6072676183664</c:v>
                </c:pt>
                <c:pt idx="9">
                  <c:v>881.75517087463527</c:v>
                </c:pt>
                <c:pt idx="10">
                  <c:v>539.75654020221077</c:v>
                </c:pt>
                <c:pt idx="11">
                  <c:v>308.33824052711844</c:v>
                </c:pt>
                <c:pt idx="12">
                  <c:v>154.75365634974315</c:v>
                </c:pt>
                <c:pt idx="13">
                  <c:v>59.799201646172378</c:v>
                </c:pt>
                <c:pt idx="14">
                  <c:v>11.069393553011508</c:v>
                </c:pt>
                <c:pt idx="15">
                  <c:v>0</c:v>
                </c:pt>
                <c:pt idx="16">
                  <c:v>54.95493216904012</c:v>
                </c:pt>
                <c:pt idx="17">
                  <c:v>185.89630142049617</c:v>
                </c:pt>
                <c:pt idx="18">
                  <c:v>376.99625084425702</c:v>
                </c:pt>
                <c:pt idx="19">
                  <c:v>617.26071348287678</c:v>
                </c:pt>
                <c:pt idx="20">
                  <c:v>898.68497610370309</c:v>
                </c:pt>
                <c:pt idx="21">
                  <c:v>1215.2261267992649</c:v>
                </c:pt>
                <c:pt idx="22">
                  <c:v>1562.1894241233547</c:v>
                </c:pt>
                <c:pt idx="23">
                  <c:v>1935.8413866578551</c:v>
                </c:pt>
                <c:pt idx="24">
                  <c:v>2333.1549220213765</c:v>
                </c:pt>
                <c:pt idx="25">
                  <c:v>2751.6352720645032</c:v>
                </c:pt>
                <c:pt idx="26">
                  <c:v>3189.1974998921801</c:v>
                </c:pt>
                <c:pt idx="27">
                  <c:v>3644.0780077085442</c:v>
                </c:pt>
                <c:pt idx="28">
                  <c:v>4114.769199138902</c:v>
                </c:pt>
                <c:pt idx="29">
                  <c:v>4599.9702906031571</c:v>
                </c:pt>
                <c:pt idx="30">
                  <c:v>5098.5496457450281</c:v>
                </c:pt>
                <c:pt idx="31">
                  <c:v>5609.5154959261854</c:v>
                </c:pt>
                <c:pt idx="32">
                  <c:v>6131.9928717347793</c:v>
                </c:pt>
                <c:pt idx="33">
                  <c:v>6665.2052072952756</c:v>
                </c:pt>
                <c:pt idx="34">
                  <c:v>7208.4595100831075</c:v>
                </c:pt>
                <c:pt idx="35">
                  <c:v>7761.134286301477</c:v>
                </c:pt>
                <c:pt idx="36">
                  <c:v>8322.6696207336227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6C-184C-9803-4734208B3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 IG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'IG hedging'!$B$84:$B$85</c:f>
              <c:strCache>
                <c:ptCount val="2"/>
                <c:pt idx="0">
                  <c:v>Rho IG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hedging'!$A$86:$A$122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hedging'!$B$86:$B$122</c:f>
              <c:numCache>
                <c:formatCode>#,##0.0000_);[Red]\(#,##0.0000\)</c:formatCode>
                <c:ptCount val="37"/>
                <c:pt idx="0">
                  <c:v>-0.86491552507398273</c:v>
                </c:pt>
                <c:pt idx="1">
                  <c:v>-0.81574217543800187</c:v>
                </c:pt>
                <c:pt idx="2">
                  <c:v>-0.7794317473476956</c:v>
                </c:pt>
                <c:pt idx="3">
                  <c:v>-0.74925952832341158</c:v>
                </c:pt>
                <c:pt idx="4">
                  <c:v>-0.72288048780595515</c:v>
                </c:pt>
                <c:pt idx="5">
                  <c:v>-0.69914566717193249</c:v>
                </c:pt>
                <c:pt idx="6">
                  <c:v>-0.6773903785748806</c:v>
                </c:pt>
                <c:pt idx="7">
                  <c:v>-0.65718905050423415</c:v>
                </c:pt>
                <c:pt idx="8">
                  <c:v>-0.51813061725686227</c:v>
                </c:pt>
                <c:pt idx="9">
                  <c:v>-0.41330995625505856</c:v>
                </c:pt>
                <c:pt idx="10">
                  <c:v>-0.32555139621886708</c:v>
                </c:pt>
                <c:pt idx="11">
                  <c:v>-0.24852184149851225</c:v>
                </c:pt>
                <c:pt idx="12">
                  <c:v>-0.17904406691658437</c:v>
                </c:pt>
                <c:pt idx="13">
                  <c:v>-0.11525485344782382</c:v>
                </c:pt>
                <c:pt idx="14">
                  <c:v>-5.5950564872422032E-2</c:v>
                </c:pt>
                <c:pt idx="15">
                  <c:v>-3.0026054678330641E-4</c:v>
                </c:pt>
                <c:pt idx="16">
                  <c:v>9.1392298744869288E-2</c:v>
                </c:pt>
                <c:pt idx="17">
                  <c:v>0.17571230922937089</c:v>
                </c:pt>
                <c:pt idx="18">
                  <c:v>0.25419546138074467</c:v>
                </c:pt>
                <c:pt idx="19">
                  <c:v>0.32790844944529324</c:v>
                </c:pt>
                <c:pt idx="20">
                  <c:v>0.39762792701095789</c:v>
                </c:pt>
                <c:pt idx="21">
                  <c:v>0.46394020480220249</c:v>
                </c:pt>
                <c:pt idx="22">
                  <c:v>0.52730078792991253</c:v>
                </c:pt>
                <c:pt idx="23">
                  <c:v>0.58807191569668715</c:v>
                </c:pt>
                <c:pt idx="24">
                  <c:v>0.64654729033653591</c:v>
                </c:pt>
                <c:pt idx="25">
                  <c:v>0.70296896460156644</c:v>
                </c:pt>
                <c:pt idx="26">
                  <c:v>0.75753922852679989</c:v>
                </c:pt>
                <c:pt idx="27">
                  <c:v>0.81042919437023198</c:v>
                </c:pt>
                <c:pt idx="28">
                  <c:v>0.86178513597073036</c:v>
                </c:pt>
                <c:pt idx="29">
                  <c:v>0.91173326125170928</c:v>
                </c:pt>
                <c:pt idx="30">
                  <c:v>0.96038336670566038</c:v>
                </c:pt>
                <c:pt idx="31">
                  <c:v>1.0078316782246277</c:v>
                </c:pt>
                <c:pt idx="32">
                  <c:v>1.0541630893098906</c:v>
                </c:pt>
                <c:pt idx="33">
                  <c:v>1.0994529459052658</c:v>
                </c:pt>
                <c:pt idx="34">
                  <c:v>1.1437684852889656</c:v>
                </c:pt>
                <c:pt idx="35">
                  <c:v>1.1871700076083069</c:v>
                </c:pt>
                <c:pt idx="36">
                  <c:v>1.2297118383774468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E-2C49-8FD6-C119BD41F1FC}"/>
            </c:ext>
          </c:extLst>
        </c:ser>
        <c:ser>
          <c:idx val="1"/>
          <c:order val="1"/>
          <c:tx>
            <c:strRef>
              <c:f>'IG hedging'!$C$84:$C$85</c:f>
              <c:strCache>
                <c:ptCount val="2"/>
                <c:pt idx="0">
                  <c:v>Rho IG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hedging'!$A$86:$A$122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hedging'!$C$86:$C$122</c:f>
              <c:numCache>
                <c:formatCode>#,##0.0000_);[Red]\(#,##0.0000\)</c:formatCode>
                <c:ptCount val="37"/>
                <c:pt idx="0">
                  <c:v>-0.86508856921098709</c:v>
                </c:pt>
                <c:pt idx="1">
                  <c:v>-0.81600379358220299</c:v>
                </c:pt>
                <c:pt idx="2">
                  <c:v>-0.77975877002794691</c:v>
                </c:pt>
                <c:pt idx="3">
                  <c:v>-0.74964089902682529</c:v>
                </c:pt>
                <c:pt idx="4">
                  <c:v>-0.72330937403031526</c:v>
                </c:pt>
                <c:pt idx="5">
                  <c:v>-0.69961730598868688</c:v>
                </c:pt>
                <c:pt idx="6">
                  <c:v>-0.67790120433136991</c:v>
                </c:pt>
                <c:pt idx="7">
                  <c:v>-0.65773626411290664</c:v>
                </c:pt>
                <c:pt idx="8">
                  <c:v>-0.518928311313956</c:v>
                </c:pt>
                <c:pt idx="9">
                  <c:v>-0.41429645961740896</c:v>
                </c:pt>
                <c:pt idx="10">
                  <c:v>-0.32669597559974678</c:v>
                </c:pt>
                <c:pt idx="11">
                  <c:v>-0.24980517116556628</c:v>
                </c:pt>
                <c:pt idx="12">
                  <c:v>-0.18045254414733633</c:v>
                </c:pt>
                <c:pt idx="13">
                  <c:v>-0.11677823166243527</c:v>
                </c:pt>
                <c:pt idx="14">
                  <c:v>-5.7580765553307316E-2</c:v>
                </c:pt>
                <c:pt idx="15">
                  <c:v>-2.0307019168288322E-3</c:v>
                </c:pt>
                <c:pt idx="16">
                  <c:v>8.9496695199241139E-2</c:v>
                </c:pt>
                <c:pt idx="17">
                  <c:v>0.17366482338833791</c:v>
                </c:pt>
                <c:pt idx="18">
                  <c:v>0.25200660694605431</c:v>
                </c:pt>
                <c:pt idx="19">
                  <c:v>0.32558681872459361</c:v>
                </c:pt>
                <c:pt idx="20">
                  <c:v>0.39518071335654825</c:v>
                </c:pt>
                <c:pt idx="21">
                  <c:v>0.4613735454680945</c:v>
                </c:pt>
                <c:pt idx="22">
                  <c:v>0.52461999968680251</c:v>
                </c:pt>
                <c:pt idx="23">
                  <c:v>0.58528166282796223</c:v>
                </c:pt>
                <c:pt idx="24">
                  <c:v>0.64365170809138006</c:v>
                </c:pt>
                <c:pt idx="25">
                  <c:v>0.69997175222912844</c:v>
                </c:pt>
                <c:pt idx="26">
                  <c:v>0.75444372089920042</c:v>
                </c:pt>
                <c:pt idx="27">
                  <c:v>0.80723841814185715</c:v>
                </c:pt>
                <c:pt idx="28">
                  <c:v>0.85850185431869463</c:v>
                </c:pt>
                <c:pt idx="29">
                  <c:v>0.90836001001979261</c:v>
                </c:pt>
                <c:pt idx="30">
                  <c:v>0.95692248396556934</c:v>
                </c:pt>
                <c:pt idx="31">
                  <c:v>1.0042853287201807</c:v>
                </c:pt>
                <c:pt idx="32">
                  <c:v>1.0505332848696036</c:v>
                </c:pt>
                <c:pt idx="33">
                  <c:v>1.0957415626399913</c:v>
                </c:pt>
                <c:pt idx="34">
                  <c:v>1.1399772781977093</c:v>
                </c:pt>
                <c:pt idx="35">
                  <c:v>1.1833006230738072</c:v>
                </c:pt>
                <c:pt idx="36">
                  <c:v>1.2257658249280452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5E-2C49-8FD6-C119BD41F1FC}"/>
            </c:ext>
          </c:extLst>
        </c:ser>
        <c:ser>
          <c:idx val="2"/>
          <c:order val="2"/>
          <c:tx>
            <c:strRef>
              <c:f>'IG hedging'!$D$84:$D$85</c:f>
              <c:strCache>
                <c:ptCount val="2"/>
                <c:pt idx="0">
                  <c:v>Rho IG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hedging'!$A$86:$A$122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hedging'!$D$86:$D$122</c:f>
              <c:numCache>
                <c:formatCode>#,##0.0000_);[Red]\(#,##0.0000\)</c:formatCode>
                <c:ptCount val="37"/>
                <c:pt idx="0">
                  <c:v>-0.86537628372207143</c:v>
                </c:pt>
                <c:pt idx="1">
                  <c:v>-0.81643877703643908</c:v>
                </c:pt>
                <c:pt idx="2">
                  <c:v>-0.78030249934574214</c:v>
                </c:pt>
                <c:pt idx="3">
                  <c:v>-0.75027499092600147</c:v>
                </c:pt>
                <c:pt idx="4">
                  <c:v>-0.72402246834537565</c:v>
                </c:pt>
                <c:pt idx="5">
                  <c:v>-0.7004014835628003</c:v>
                </c:pt>
                <c:pt idx="6">
                  <c:v>-0.67875053667698804</c:v>
                </c:pt>
                <c:pt idx="7">
                  <c:v>-0.6586460972838144</c:v>
                </c:pt>
                <c:pt idx="8">
                  <c:v>-0.52025460967693038</c:v>
                </c:pt>
                <c:pt idx="9">
                  <c:v>-0.41593668469232187</c:v>
                </c:pt>
                <c:pt idx="10">
                  <c:v>-0.32859902821202985</c:v>
                </c:pt>
                <c:pt idx="11">
                  <c:v>-0.25193891908738408</c:v>
                </c:pt>
                <c:pt idx="12">
                  <c:v>-0.18279437060175327</c:v>
                </c:pt>
                <c:pt idx="13">
                  <c:v>-0.11931110001498567</c:v>
                </c:pt>
                <c:pt idx="14">
                  <c:v>-6.0291243931766589E-2</c:v>
                </c:pt>
                <c:pt idx="15">
                  <c:v>-4.9078470276704422E-3</c:v>
                </c:pt>
                <c:pt idx="16">
                  <c:v>8.6344940642393772E-2</c:v>
                </c:pt>
                <c:pt idx="17">
                  <c:v>0.17026053938367894</c:v>
                </c:pt>
                <c:pt idx="18">
                  <c:v>0.24836727426242333</c:v>
                </c:pt>
                <c:pt idx="19">
                  <c:v>0.32172672349520964</c:v>
                </c:pt>
                <c:pt idx="20">
                  <c:v>0.39111181571988041</c:v>
                </c:pt>
                <c:pt idx="21">
                  <c:v>0.45710604962445883</c:v>
                </c:pt>
                <c:pt idx="22">
                  <c:v>0.52016274564723786</c:v>
                </c:pt>
                <c:pt idx="23">
                  <c:v>0.5806424057353895</c:v>
                </c:pt>
                <c:pt idx="24">
                  <c:v>0.63883732348182165</c:v>
                </c:pt>
                <c:pt idx="25">
                  <c:v>0.69498839071640228</c:v>
                </c:pt>
                <c:pt idx="26">
                  <c:v>0.74929692726002184</c:v>
                </c:pt>
                <c:pt idx="27">
                  <c:v>0.80193322468995953</c:v>
                </c:pt>
                <c:pt idx="28">
                  <c:v>0.85304285529324841</c:v>
                </c:pt>
                <c:pt idx="29">
                  <c:v>0.90275142168068345</c:v>
                </c:pt>
                <c:pt idx="30">
                  <c:v>0.95116819374388617</c:v>
                </c:pt>
                <c:pt idx="31">
                  <c:v>0.99838893586071731</c:v>
                </c:pt>
                <c:pt idx="32">
                  <c:v>1.0444981343701631</c:v>
                </c:pt>
                <c:pt idx="33">
                  <c:v>1.0895707738453022</c:v>
                </c:pt>
                <c:pt idx="34">
                  <c:v>1.1336737690840146</c:v>
                </c:pt>
                <c:pt idx="35">
                  <c:v>1.1768671310248338</c:v>
                </c:pt>
                <c:pt idx="36">
                  <c:v>1.2192049246283936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5E-2C49-8FD6-C119BD41F1FC}"/>
            </c:ext>
          </c:extLst>
        </c:ser>
        <c:ser>
          <c:idx val="3"/>
          <c:order val="3"/>
          <c:tx>
            <c:strRef>
              <c:f>'IG hedging'!$E$84:$E$85</c:f>
              <c:strCache>
                <c:ptCount val="2"/>
                <c:pt idx="0">
                  <c:v>Rho IG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hedging'!$A$86:$A$122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hedging'!$E$86:$E$122</c:f>
              <c:numCache>
                <c:formatCode>#,##0.0000_);[Red]\(#,##0.0000\)</c:formatCode>
                <c:ptCount val="37"/>
                <c:pt idx="0">
                  <c:v>-0.86577763439292921</c:v>
                </c:pt>
                <c:pt idx="1">
                  <c:v>-0.81704556221564983</c:v>
                </c:pt>
                <c:pt idx="2">
                  <c:v>-0.7810609808197555</c:v>
                </c:pt>
                <c:pt idx="3">
                  <c:v>-0.75115952472362213</c:v>
                </c:pt>
                <c:pt idx="4">
                  <c:v>-0.72501720747290865</c:v>
                </c:pt>
                <c:pt idx="5">
                  <c:v>-0.70149538110121812</c:v>
                </c:pt>
                <c:pt idx="6">
                  <c:v>-0.67993532261430689</c:v>
                </c:pt>
                <c:pt idx="7">
                  <c:v>-0.65991527954416174</c:v>
                </c:pt>
                <c:pt idx="8">
                  <c:v>-0.52210474485339942</c:v>
                </c:pt>
                <c:pt idx="9">
                  <c:v>-0.41822473555111755</c:v>
                </c:pt>
                <c:pt idx="10">
                  <c:v>-0.33125371337107667</c:v>
                </c:pt>
                <c:pt idx="11">
                  <c:v>-0.25491541532539475</c:v>
                </c:pt>
                <c:pt idx="12">
                  <c:v>-0.18606112838526256</c:v>
                </c:pt>
                <c:pt idx="13">
                  <c:v>-0.12284435389453449</c:v>
                </c:pt>
                <c:pt idx="14">
                  <c:v>-6.4072256962499949E-2</c:v>
                </c:pt>
                <c:pt idx="15">
                  <c:v>-8.9213537362486765E-3</c:v>
                </c:pt>
                <c:pt idx="16">
                  <c:v>8.1948364324420597E-2</c:v>
                </c:pt>
                <c:pt idx="17">
                  <c:v>0.16551169420408812</c:v>
                </c:pt>
                <c:pt idx="18">
                  <c:v>0.24329054522103419</c:v>
                </c:pt>
                <c:pt idx="19">
                  <c:v>0.31634203919809023</c:v>
                </c:pt>
                <c:pt idx="20">
                  <c:v>0.38543586009993375</c:v>
                </c:pt>
                <c:pt idx="21">
                  <c:v>0.45115305714843756</c:v>
                </c:pt>
                <c:pt idx="22">
                  <c:v>0.51394504779035155</c:v>
                </c:pt>
                <c:pt idx="23">
                  <c:v>0.57417082062357294</c:v>
                </c:pt>
                <c:pt idx="24">
                  <c:v>0.6321214422232343</c:v>
                </c:pt>
                <c:pt idx="25">
                  <c:v>0.68803679318062638</c:v>
                </c:pt>
                <c:pt idx="26">
                  <c:v>0.74211734819719577</c:v>
                </c:pt>
                <c:pt idx="27">
                  <c:v>0.7945326839840835</c:v>
                </c:pt>
                <c:pt idx="28">
                  <c:v>0.84542776173116452</c:v>
                </c:pt>
                <c:pt idx="29">
                  <c:v>0.89492765678267872</c:v>
                </c:pt>
                <c:pt idx="30">
                  <c:v>0.94314118032672967</c:v>
                </c:pt>
                <c:pt idx="31">
                  <c:v>0.99016369473238752</c:v>
                </c:pt>
                <c:pt idx="32">
                  <c:v>1.0360793316738688</c:v>
                </c:pt>
                <c:pt idx="33">
                  <c:v>1.0809627609468979</c:v>
                </c:pt>
                <c:pt idx="34">
                  <c:v>1.1248806164480682</c:v>
                </c:pt>
                <c:pt idx="35">
                  <c:v>1.1678926571963018</c:v>
                </c:pt>
                <c:pt idx="36">
                  <c:v>1.2100527211932108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5E-2C49-8FD6-C119BD41F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 LP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'IG hedging'!$H$84:$H$85</c:f>
              <c:strCache>
                <c:ptCount val="2"/>
                <c:pt idx="0">
                  <c:v>Rho LP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hedging'!$G$86:$G$122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hedging'!$H$86:$H$122</c:f>
              <c:numCache>
                <c:formatCode>#,##0.0000_);[Red]\(#,##0.0000\)</c:formatCode>
                <c:ptCount val="37"/>
                <c:pt idx="0">
                  <c:v>-9.9764454601395228E-2</c:v>
                </c:pt>
                <c:pt idx="1">
                  <c:v>-0.14893780423737596</c:v>
                </c:pt>
                <c:pt idx="2">
                  <c:v>-0.18524823232768223</c:v>
                </c:pt>
                <c:pt idx="3">
                  <c:v>-0.21542045135196627</c:v>
                </c:pt>
                <c:pt idx="4">
                  <c:v>-0.24179949186942282</c:v>
                </c:pt>
                <c:pt idx="5">
                  <c:v>-0.26553431250344539</c:v>
                </c:pt>
                <c:pt idx="6">
                  <c:v>-0.28728960110049739</c:v>
                </c:pt>
                <c:pt idx="7">
                  <c:v>-0.30749092917114379</c:v>
                </c:pt>
                <c:pt idx="8">
                  <c:v>-0.44654936241851556</c:v>
                </c:pt>
                <c:pt idx="9">
                  <c:v>-0.55137002342031938</c:v>
                </c:pt>
                <c:pt idx="10">
                  <c:v>-0.6391285834565108</c:v>
                </c:pt>
                <c:pt idx="11">
                  <c:v>-0.71615813817686558</c:v>
                </c:pt>
                <c:pt idx="12">
                  <c:v>-0.78563591275879352</c:v>
                </c:pt>
                <c:pt idx="13">
                  <c:v>-0.84942512622755417</c:v>
                </c:pt>
                <c:pt idx="14">
                  <c:v>-0.90872941480295599</c:v>
                </c:pt>
                <c:pt idx="15">
                  <c:v>-0.96437971912859466</c:v>
                </c:pt>
                <c:pt idx="16">
                  <c:v>-1.056072278420247</c:v>
                </c:pt>
                <c:pt idx="17">
                  <c:v>-1.1403922889047489</c:v>
                </c:pt>
                <c:pt idx="18">
                  <c:v>-1.2188754410561224</c:v>
                </c:pt>
                <c:pt idx="19">
                  <c:v>-1.2925884291206711</c:v>
                </c:pt>
                <c:pt idx="20">
                  <c:v>-1.3623079066863359</c:v>
                </c:pt>
                <c:pt idx="21">
                  <c:v>-1.4286201844775803</c:v>
                </c:pt>
                <c:pt idx="22">
                  <c:v>-1.4919807676052901</c:v>
                </c:pt>
                <c:pt idx="23">
                  <c:v>-1.5527518953720649</c:v>
                </c:pt>
                <c:pt idx="24">
                  <c:v>-1.6112272700119141</c:v>
                </c:pt>
                <c:pt idx="25">
                  <c:v>-1.6676489442769442</c:v>
                </c:pt>
                <c:pt idx="26">
                  <c:v>-1.7222192082021781</c:v>
                </c:pt>
                <c:pt idx="27">
                  <c:v>-1.7751091740456098</c:v>
                </c:pt>
                <c:pt idx="28">
                  <c:v>-1.8264651156461085</c:v>
                </c:pt>
                <c:pt idx="29">
                  <c:v>-1.8764132409270868</c:v>
                </c:pt>
                <c:pt idx="30">
                  <c:v>-1.9250633463810385</c:v>
                </c:pt>
                <c:pt idx="31">
                  <c:v>-1.9725116579000062</c:v>
                </c:pt>
                <c:pt idx="32">
                  <c:v>-2.0188430689852686</c:v>
                </c:pt>
                <c:pt idx="33">
                  <c:v>-2.064132925580644</c:v>
                </c:pt>
                <c:pt idx="34">
                  <c:v>-2.1084484649643436</c:v>
                </c:pt>
                <c:pt idx="35">
                  <c:v>-2.1518499872836845</c:v>
                </c:pt>
                <c:pt idx="36">
                  <c:v>-2.194391818052825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1-204B-9A9C-F7C19AF38747}"/>
            </c:ext>
          </c:extLst>
        </c:ser>
        <c:ser>
          <c:idx val="1"/>
          <c:order val="1"/>
          <c:tx>
            <c:strRef>
              <c:f>'IG hedging'!$I$84:$I$85</c:f>
              <c:strCache>
                <c:ptCount val="2"/>
                <c:pt idx="0">
                  <c:v>Rho LP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hedging'!$G$86:$G$122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hedging'!$I$86:$I$122</c:f>
              <c:numCache>
                <c:formatCode>#,##0.0000_);[Red]\(#,##0.0000\)</c:formatCode>
                <c:ptCount val="37"/>
                <c:pt idx="0">
                  <c:v>-9.9591410464390684E-2</c:v>
                </c:pt>
                <c:pt idx="1">
                  <c:v>-0.1486761860931749</c:v>
                </c:pt>
                <c:pt idx="2">
                  <c:v>-0.18492120964743095</c:v>
                </c:pt>
                <c:pt idx="3">
                  <c:v>-0.21503908064855254</c:v>
                </c:pt>
                <c:pt idx="4">
                  <c:v>-0.24137060564506271</c:v>
                </c:pt>
                <c:pt idx="5">
                  <c:v>-0.26506267368669112</c:v>
                </c:pt>
                <c:pt idx="6">
                  <c:v>-0.28677877534400797</c:v>
                </c:pt>
                <c:pt idx="7">
                  <c:v>-0.30694371556247119</c:v>
                </c:pt>
                <c:pt idx="8">
                  <c:v>-0.44575166836142188</c:v>
                </c:pt>
                <c:pt idx="9">
                  <c:v>-0.55038352005796898</c:v>
                </c:pt>
                <c:pt idx="10">
                  <c:v>-0.63798400407563127</c:v>
                </c:pt>
                <c:pt idx="11">
                  <c:v>-0.71487480850981155</c:v>
                </c:pt>
                <c:pt idx="12">
                  <c:v>-0.78422743552804164</c:v>
                </c:pt>
                <c:pt idx="13">
                  <c:v>-0.8479017480129426</c:v>
                </c:pt>
                <c:pt idx="14">
                  <c:v>-0.90709921412207051</c:v>
                </c:pt>
                <c:pt idx="15">
                  <c:v>-0.96264927775854914</c:v>
                </c:pt>
                <c:pt idx="16">
                  <c:v>-1.0541766748746191</c:v>
                </c:pt>
                <c:pt idx="17">
                  <c:v>-1.1383448030637158</c:v>
                </c:pt>
                <c:pt idx="18">
                  <c:v>-1.2166865866214323</c:v>
                </c:pt>
                <c:pt idx="19">
                  <c:v>-1.2902667983999712</c:v>
                </c:pt>
                <c:pt idx="20">
                  <c:v>-1.3598606930319261</c:v>
                </c:pt>
                <c:pt idx="21">
                  <c:v>-1.4260535251434723</c:v>
                </c:pt>
                <c:pt idx="22">
                  <c:v>-1.4892999793621804</c:v>
                </c:pt>
                <c:pt idx="23">
                  <c:v>-1.5499616425033398</c:v>
                </c:pt>
                <c:pt idx="24">
                  <c:v>-1.6083316877667582</c:v>
                </c:pt>
                <c:pt idx="25">
                  <c:v>-1.6646517319045067</c:v>
                </c:pt>
                <c:pt idx="26">
                  <c:v>-1.7191237005745785</c:v>
                </c:pt>
                <c:pt idx="27">
                  <c:v>-1.7719183978172353</c:v>
                </c:pt>
                <c:pt idx="28">
                  <c:v>-1.8231818339940729</c:v>
                </c:pt>
                <c:pt idx="29">
                  <c:v>-1.8730399896951702</c:v>
                </c:pt>
                <c:pt idx="30">
                  <c:v>-1.9216024636409474</c:v>
                </c:pt>
                <c:pt idx="31">
                  <c:v>-1.9689653083955587</c:v>
                </c:pt>
                <c:pt idx="32">
                  <c:v>-2.0152132645449821</c:v>
                </c:pt>
                <c:pt idx="33">
                  <c:v>-2.0604215423153693</c:v>
                </c:pt>
                <c:pt idx="34">
                  <c:v>-2.1046572578730873</c:v>
                </c:pt>
                <c:pt idx="35">
                  <c:v>-2.1479806027491848</c:v>
                </c:pt>
                <c:pt idx="36">
                  <c:v>-2.1904458046034234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D1-204B-9A9C-F7C19AF38747}"/>
            </c:ext>
          </c:extLst>
        </c:ser>
        <c:ser>
          <c:idx val="2"/>
          <c:order val="2"/>
          <c:tx>
            <c:strRef>
              <c:f>'IG hedging'!$J$84:$J$85</c:f>
              <c:strCache>
                <c:ptCount val="2"/>
                <c:pt idx="0">
                  <c:v>Rho LP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hedging'!$G$86:$G$122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hedging'!$J$86:$J$122</c:f>
              <c:numCache>
                <c:formatCode>#,##0.0000_);[Red]\(#,##0.0000\)</c:formatCode>
                <c:ptCount val="37"/>
                <c:pt idx="0">
                  <c:v>-9.9303695953306528E-2</c:v>
                </c:pt>
                <c:pt idx="1">
                  <c:v>-0.14824120263893875</c:v>
                </c:pt>
                <c:pt idx="2">
                  <c:v>-0.18437748032963575</c:v>
                </c:pt>
                <c:pt idx="3">
                  <c:v>-0.21440498874937641</c:v>
                </c:pt>
                <c:pt idx="4">
                  <c:v>-0.24065751133000218</c:v>
                </c:pt>
                <c:pt idx="5">
                  <c:v>-0.26427849611257764</c:v>
                </c:pt>
                <c:pt idx="6">
                  <c:v>-0.28592944299838985</c:v>
                </c:pt>
                <c:pt idx="7">
                  <c:v>-0.30603388239156343</c:v>
                </c:pt>
                <c:pt idx="8">
                  <c:v>-0.44442536999844756</c:v>
                </c:pt>
                <c:pt idx="9">
                  <c:v>-0.54874329498305596</c:v>
                </c:pt>
                <c:pt idx="10">
                  <c:v>-0.63608095146334809</c:v>
                </c:pt>
                <c:pt idx="11">
                  <c:v>-0.7127410605879938</c:v>
                </c:pt>
                <c:pt idx="12">
                  <c:v>-0.7818856090736247</c:v>
                </c:pt>
                <c:pt idx="13">
                  <c:v>-0.84536887966039231</c:v>
                </c:pt>
                <c:pt idx="14">
                  <c:v>-0.90438873574361123</c:v>
                </c:pt>
                <c:pt idx="15">
                  <c:v>-0.95977213264770744</c:v>
                </c:pt>
                <c:pt idx="16">
                  <c:v>-1.0510249203177715</c:v>
                </c:pt>
                <c:pt idx="17">
                  <c:v>-1.1349405190590567</c:v>
                </c:pt>
                <c:pt idx="18">
                  <c:v>-1.2130472539378012</c:v>
                </c:pt>
                <c:pt idx="19">
                  <c:v>-1.2864067031705875</c:v>
                </c:pt>
                <c:pt idx="20">
                  <c:v>-1.3557917953952585</c:v>
                </c:pt>
                <c:pt idx="21">
                  <c:v>-1.4217860292998368</c:v>
                </c:pt>
                <c:pt idx="22">
                  <c:v>-1.4848427253226157</c:v>
                </c:pt>
                <c:pt idx="23">
                  <c:v>-1.5453223854107672</c:v>
                </c:pt>
                <c:pt idx="24">
                  <c:v>-1.6035173031571999</c:v>
                </c:pt>
                <c:pt idx="25">
                  <c:v>-1.6596683703917798</c:v>
                </c:pt>
                <c:pt idx="26">
                  <c:v>-1.7139769069353996</c:v>
                </c:pt>
                <c:pt idx="27">
                  <c:v>-1.7666132043653378</c:v>
                </c:pt>
                <c:pt idx="28">
                  <c:v>-1.8177228349686263</c:v>
                </c:pt>
                <c:pt idx="29">
                  <c:v>-1.8674314013560613</c:v>
                </c:pt>
                <c:pt idx="30">
                  <c:v>-1.9158481734192643</c:v>
                </c:pt>
                <c:pt idx="31">
                  <c:v>-1.9630689155360956</c:v>
                </c:pt>
                <c:pt idx="32">
                  <c:v>-2.0091781140455414</c:v>
                </c:pt>
                <c:pt idx="33">
                  <c:v>-2.0542507535206802</c:v>
                </c:pt>
                <c:pt idx="34">
                  <c:v>-2.0983537487593922</c:v>
                </c:pt>
                <c:pt idx="35">
                  <c:v>-2.1415471107002118</c:v>
                </c:pt>
                <c:pt idx="36">
                  <c:v>-2.1838849043037718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D1-204B-9A9C-F7C19AF38747}"/>
            </c:ext>
          </c:extLst>
        </c:ser>
        <c:ser>
          <c:idx val="3"/>
          <c:order val="3"/>
          <c:tx>
            <c:strRef>
              <c:f>'IG hedging'!$K$84:$K$85</c:f>
              <c:strCache>
                <c:ptCount val="2"/>
                <c:pt idx="0">
                  <c:v>Rho LP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hedging'!$G$86:$G$122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hedging'!$K$86:$K$122</c:f>
              <c:numCache>
                <c:formatCode>#,##0.0000_);[Red]\(#,##0.0000\)</c:formatCode>
                <c:ptCount val="37"/>
                <c:pt idx="0">
                  <c:v>-9.8902345282448692E-2</c:v>
                </c:pt>
                <c:pt idx="1">
                  <c:v>-0.14763441745972808</c:v>
                </c:pt>
                <c:pt idx="2">
                  <c:v>-0.18361899885562238</c:v>
                </c:pt>
                <c:pt idx="3">
                  <c:v>-0.21352045495175573</c:v>
                </c:pt>
                <c:pt idx="4">
                  <c:v>-0.23966277220246926</c:v>
                </c:pt>
                <c:pt idx="5">
                  <c:v>-0.26318459857415977</c:v>
                </c:pt>
                <c:pt idx="6">
                  <c:v>-0.28474465706107099</c:v>
                </c:pt>
                <c:pt idx="7">
                  <c:v>-0.30476470013121615</c:v>
                </c:pt>
                <c:pt idx="8">
                  <c:v>-0.44257523482197852</c:v>
                </c:pt>
                <c:pt idx="9">
                  <c:v>-0.54645524412426039</c:v>
                </c:pt>
                <c:pt idx="10">
                  <c:v>-0.63342626630430121</c:v>
                </c:pt>
                <c:pt idx="11">
                  <c:v>-0.70976456434998314</c:v>
                </c:pt>
                <c:pt idx="12">
                  <c:v>-0.77861885129011521</c:v>
                </c:pt>
                <c:pt idx="13">
                  <c:v>-0.84183562578084348</c:v>
                </c:pt>
                <c:pt idx="14">
                  <c:v>-0.90060772271287803</c:v>
                </c:pt>
                <c:pt idx="15">
                  <c:v>-0.95575862593912919</c:v>
                </c:pt>
                <c:pt idx="16">
                  <c:v>-1.0466283439997983</c:v>
                </c:pt>
                <c:pt idx="17">
                  <c:v>-1.130191673879466</c:v>
                </c:pt>
                <c:pt idx="18">
                  <c:v>-1.2079705248964121</c:v>
                </c:pt>
                <c:pt idx="19">
                  <c:v>-1.281022018873468</c:v>
                </c:pt>
                <c:pt idx="20">
                  <c:v>-1.3501158397753117</c:v>
                </c:pt>
                <c:pt idx="21">
                  <c:v>-1.4158330368238154</c:v>
                </c:pt>
                <c:pt idx="22">
                  <c:v>-1.4786250274657293</c:v>
                </c:pt>
                <c:pt idx="23">
                  <c:v>-1.5388508002989507</c:v>
                </c:pt>
                <c:pt idx="24">
                  <c:v>-1.5968014218986124</c:v>
                </c:pt>
                <c:pt idx="25">
                  <c:v>-1.6527167728560042</c:v>
                </c:pt>
                <c:pt idx="26">
                  <c:v>-1.7067973278725737</c:v>
                </c:pt>
                <c:pt idx="27">
                  <c:v>-1.7592126636594616</c:v>
                </c:pt>
                <c:pt idx="28">
                  <c:v>-1.8101077414065423</c:v>
                </c:pt>
                <c:pt idx="29">
                  <c:v>-1.8596076364580563</c:v>
                </c:pt>
                <c:pt idx="30">
                  <c:v>-1.9078211600021076</c:v>
                </c:pt>
                <c:pt idx="31">
                  <c:v>-1.9548436744077657</c:v>
                </c:pt>
                <c:pt idx="32">
                  <c:v>-2.0007593113492472</c:v>
                </c:pt>
                <c:pt idx="33">
                  <c:v>-2.0456427406222759</c:v>
                </c:pt>
                <c:pt idx="34">
                  <c:v>-2.0895605961234458</c:v>
                </c:pt>
                <c:pt idx="35">
                  <c:v>-2.13257263687168</c:v>
                </c:pt>
                <c:pt idx="36">
                  <c:v>-2.1747327008685891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D1-204B-9A9C-F7C19AF3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LP I</a:t>
            </a:r>
            <a:r>
              <a:rPr lang="en-US" baseline="0"/>
              <a:t>L (%)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hedging'!$G$128:$G$164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hedging'!$H$128:$H$164</c:f>
              <c:numCache>
                <c:formatCode>0.00%</c:formatCode>
                <c:ptCount val="37"/>
                <c:pt idx="0">
                  <c:v>-0.80198019801980203</c:v>
                </c:pt>
                <c:pt idx="1">
                  <c:v>-0.70438532837267143</c:v>
                </c:pt>
                <c:pt idx="2">
                  <c:v>-0.63506878468074612</c:v>
                </c:pt>
                <c:pt idx="3">
                  <c:v>-0.57963900216508146</c:v>
                </c:pt>
                <c:pt idx="4">
                  <c:v>-0.53299188229078132</c:v>
                </c:pt>
                <c:pt idx="5">
                  <c:v>-0.49258553116119908</c:v>
                </c:pt>
                <c:pt idx="6">
                  <c:v>-0.45692566833713988</c:v>
                </c:pt>
                <c:pt idx="7">
                  <c:v>-0.42504042542393106</c:v>
                </c:pt>
                <c:pt idx="8">
                  <c:v>-0.23962519939852467</c:v>
                </c:pt>
                <c:pt idx="9">
                  <c:v>-0.13949024520819775</c:v>
                </c:pt>
                <c:pt idx="10">
                  <c:v>-7.9738674412316302E-2</c:v>
                </c:pt>
                <c:pt idx="11">
                  <c:v>-4.3071162955398368E-2</c:v>
                </c:pt>
                <c:pt idx="12">
                  <c:v>-2.0822821287235671E-2</c:v>
                </c:pt>
                <c:pt idx="13">
                  <c:v>-8.0666556811825885E-3</c:v>
                </c:pt>
                <c:pt idx="14">
                  <c:v>-1.7778182030849798E-3</c:v>
                </c:pt>
                <c:pt idx="15">
                  <c:v>0</c:v>
                </c:pt>
                <c:pt idx="16">
                  <c:v>-4.1408045360615819E-3</c:v>
                </c:pt>
                <c:pt idx="17">
                  <c:v>-1.3986702816730645E-2</c:v>
                </c:pt>
                <c:pt idx="18">
                  <c:v>-2.6991489178960326E-2</c:v>
                </c:pt>
                <c:pt idx="19">
                  <c:v>-4.1685152500090084E-2</c:v>
                </c:pt>
                <c:pt idx="20">
                  <c:v>-5.7190958417936533E-2</c:v>
                </c:pt>
                <c:pt idx="21">
                  <c:v>-7.2975189113042127E-2</c:v>
                </c:pt>
                <c:pt idx="22">
                  <c:v>-8.870980089237257E-2</c:v>
                </c:pt>
                <c:pt idx="23">
                  <c:v>-0.10419358352238339</c:v>
                </c:pt>
                <c:pt idx="24">
                  <c:v>-0.11930523522728886</c:v>
                </c:pt>
                <c:pt idx="25">
                  <c:v>-0.1339745962155614</c:v>
                </c:pt>
                <c:pt idx="26">
                  <c:v>-0.14816458000008004</c:v>
                </c:pt>
                <c:pt idx="27">
                  <c:v>-0.16185959479155565</c:v>
                </c:pt>
                <c:pt idx="28">
                  <c:v>-0.17505800169520536</c:v>
                </c:pt>
                <c:pt idx="29">
                  <c:v>-0.18776713793258626</c:v>
                </c:pt>
                <c:pt idx="30">
                  <c:v>-0.19999999999999996</c:v>
                </c:pt>
                <c:pt idx="31">
                  <c:v>-0.21177301800310777</c:v>
                </c:pt>
                <c:pt idx="32">
                  <c:v>-0.22310455691099884</c:v>
                </c:pt>
                <c:pt idx="33">
                  <c:v>-0.23401390751688511</c:v>
                </c:pt>
                <c:pt idx="34">
                  <c:v>-0.24452061033770189</c:v>
                </c:pt>
                <c:pt idx="35">
                  <c:v>-0.2546440075000701</c:v>
                </c:pt>
                <c:pt idx="36">
                  <c:v>-0.26440295154894322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2-F14B-A248-41E59960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  <a:r>
              <a:rPr lang="en-US" baseline="0"/>
              <a:t> IG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'IG hedging'!$N$84:$N$85</c:f>
              <c:strCache>
                <c:ptCount val="2"/>
                <c:pt idx="0">
                  <c:v>Theta IG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hedging'!$M$86:$M$122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hedging'!$N$86:$N$122</c:f>
              <c:numCache>
                <c:formatCode>#,##0.0000_);[Red]\(#,##0.0000\)</c:formatCode>
                <c:ptCount val="37"/>
                <c:pt idx="0">
                  <c:v>0.28412220281051193</c:v>
                </c:pt>
                <c:pt idx="1">
                  <c:v>0.21932115849569891</c:v>
                </c:pt>
                <c:pt idx="2">
                  <c:v>0.17147097791641866</c:v>
                </c:pt>
                <c:pt idx="3">
                  <c:v>0.13170977969537584</c:v>
                </c:pt>
                <c:pt idx="4">
                  <c:v>9.694726328743998E-2</c:v>
                </c:pt>
                <c:pt idx="5">
                  <c:v>6.5669321575207509E-2</c:v>
                </c:pt>
                <c:pt idx="6">
                  <c:v>3.7000023451421199E-2</c:v>
                </c:pt>
                <c:pt idx="7">
                  <c:v>1.0378547281610398E-2</c:v>
                </c:pt>
                <c:pt idx="8">
                  <c:v>-0.17287379899780272</c:v>
                </c:pt>
                <c:pt idx="9">
                  <c:v>-0.31100732760565925</c:v>
                </c:pt>
                <c:pt idx="10">
                  <c:v>-0.4266562793245855</c:v>
                </c:pt>
                <c:pt idx="11">
                  <c:v>-0.52816645965469688</c:v>
                </c:pt>
                <c:pt idx="12">
                  <c:v>-0.6197248420489635</c:v>
                </c:pt>
                <c:pt idx="13">
                  <c:v>-0.70378679185300153</c:v>
                </c:pt>
                <c:pt idx="14">
                  <c:v>-0.78193847077017475</c:v>
                </c:pt>
                <c:pt idx="15">
                  <c:v>-0.85527489921026301</c:v>
                </c:pt>
                <c:pt idx="16">
                  <c:v>-0.97610810748227639</c:v>
                </c:pt>
                <c:pt idx="17">
                  <c:v>-1.0872257103399345</c:v>
                </c:pt>
                <c:pt idx="18">
                  <c:v>-1.1906514533120192</c:v>
                </c:pt>
                <c:pt idx="19">
                  <c:v>-1.2877910348436572</c:v>
                </c:pt>
                <c:pt idx="20">
                  <c:v>-1.379667935416492</c:v>
                </c:pt>
                <c:pt idx="21">
                  <c:v>-1.4670548001222141</c:v>
                </c:pt>
                <c:pt idx="22">
                  <c:v>-1.550551897339826</c:v>
                </c:pt>
                <c:pt idx="23">
                  <c:v>-1.6306365889996033</c:v>
                </c:pt>
                <c:pt idx="24">
                  <c:v>-1.7076959183195142</c:v>
                </c:pt>
                <c:pt idx="25">
                  <c:v>-1.7820488644057595</c:v>
                </c:pt>
                <c:pt idx="26">
                  <c:v>-1.8539620067291489</c:v>
                </c:pt>
                <c:pt idx="27">
                  <c:v>-1.9236608384296718</c:v>
                </c:pt>
                <c:pt idx="28">
                  <c:v>-1.9913381203744387</c:v>
                </c:pt>
                <c:pt idx="29">
                  <c:v>-2.0571601704022489</c:v>
                </c:pt>
                <c:pt idx="30">
                  <c:v>-2.1212716792333461</c:v>
                </c:pt>
                <c:pt idx="31">
                  <c:v>-2.1837994541391637</c:v>
                </c:pt>
                <c:pt idx="32">
                  <c:v>-2.2448553684734414</c:v>
                </c:pt>
                <c:pt idx="33">
                  <c:v>-2.3045387137402242</c:v>
                </c:pt>
                <c:pt idx="34">
                  <c:v>-2.3629380957773733</c:v>
                </c:pt>
                <c:pt idx="35">
                  <c:v>-2.4201329786146415</c:v>
                </c:pt>
                <c:pt idx="36">
                  <c:v>-2.4761949528610976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7C-994D-8070-ED8868922CDC}"/>
            </c:ext>
          </c:extLst>
        </c:ser>
        <c:ser>
          <c:idx val="1"/>
          <c:order val="1"/>
          <c:tx>
            <c:strRef>
              <c:f>'IG hedging'!$O$84:$O$85</c:f>
              <c:strCache>
                <c:ptCount val="2"/>
                <c:pt idx="0">
                  <c:v>Theta IG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hedging'!$M$86:$M$122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hedging'!$O$86:$O$122</c:f>
              <c:numCache>
                <c:formatCode>#,##0.0000_);[Red]\(#,##0.0000\)</c:formatCode>
                <c:ptCount val="37"/>
                <c:pt idx="0">
                  <c:v>2.8191514060827955E-2</c:v>
                </c:pt>
                <c:pt idx="1">
                  <c:v>-0.16760967310495245</c:v>
                </c:pt>
                <c:pt idx="2">
                  <c:v>-0.31219256158439562</c:v>
                </c:pt>
                <c:pt idx="3">
                  <c:v>-0.43233398672859574</c:v>
                </c:pt>
                <c:pt idx="4">
                  <c:v>-0.53737152205714045</c:v>
                </c:pt>
                <c:pt idx="5">
                  <c:v>-0.63188015512182782</c:v>
                </c:pt>
                <c:pt idx="6">
                  <c:v>-0.71850657707539878</c:v>
                </c:pt>
                <c:pt idx="7">
                  <c:v>-0.79894535230302188</c:v>
                </c:pt>
                <c:pt idx="8">
                  <c:v>-1.3526559804544527</c:v>
                </c:pt>
                <c:pt idx="9">
                  <c:v>-1.7700367368110899</c:v>
                </c:pt>
                <c:pt idx="10">
                  <c:v>-2.1194786675774351</c:v>
                </c:pt>
                <c:pt idx="11">
                  <c:v>-2.4261992463614543</c:v>
                </c:pt>
                <c:pt idx="12">
                  <c:v>-2.7028497256451325</c:v>
                </c:pt>
                <c:pt idx="13">
                  <c:v>-2.956849174899971</c:v>
                </c:pt>
                <c:pt idx="14">
                  <c:v>-3.1929902999818625</c:v>
                </c:pt>
                <c:pt idx="15">
                  <c:v>-3.4145817867071022</c:v>
                </c:pt>
                <c:pt idx="16">
                  <c:v>-3.7796883352029864</c:v>
                </c:pt>
                <c:pt idx="17">
                  <c:v>-4.1154384575134655</c:v>
                </c:pt>
                <c:pt idx="18">
                  <c:v>-4.4279470516505484</c:v>
                </c:pt>
                <c:pt idx="19">
                  <c:v>-4.7214615402794617</c:v>
                </c:pt>
                <c:pt idx="20">
                  <c:v>-4.999074445989395</c:v>
                </c:pt>
                <c:pt idx="21">
                  <c:v>-5.2631203735357284</c:v>
                </c:pt>
                <c:pt idx="22">
                  <c:v>-5.5154130785835056</c:v>
                </c:pt>
                <c:pt idx="23">
                  <c:v>-5.7573949457986515</c:v>
                </c:pt>
                <c:pt idx="24">
                  <c:v>-5.9902354551234094</c:v>
                </c:pt>
                <c:pt idx="25">
                  <c:v>-6.2148984257112492</c:v>
                </c:pt>
                <c:pt idx="26">
                  <c:v>-6.4321893473102207</c:v>
                </c:pt>
                <c:pt idx="27">
                  <c:v>-6.6427895642562707</c:v>
                </c:pt>
                <c:pt idx="28">
                  <c:v>-6.8472815178822311</c:v>
                </c:pt>
                <c:pt idx="29">
                  <c:v>-7.0461677499392126</c:v>
                </c:pt>
                <c:pt idx="30">
                  <c:v>-7.239885454227025</c:v>
                </c:pt>
                <c:pt idx="31">
                  <c:v>-7.4288177883714459</c:v>
                </c:pt>
                <c:pt idx="32">
                  <c:v>-7.613302786052432</c:v>
                </c:pt>
                <c:pt idx="33">
                  <c:v>-7.7936404639529391</c:v>
                </c:pt>
                <c:pt idx="34">
                  <c:v>-7.9700985512187934</c:v>
                </c:pt>
                <c:pt idx="35">
                  <c:v>-8.1429171543409833</c:v>
                </c:pt>
                <c:pt idx="36">
                  <c:v>-8.3123125896828203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7C-994D-8070-ED8868922CDC}"/>
            </c:ext>
          </c:extLst>
        </c:ser>
        <c:ser>
          <c:idx val="2"/>
          <c:order val="2"/>
          <c:tx>
            <c:strRef>
              <c:f>'IG hedging'!$P$84:$P$85</c:f>
              <c:strCache>
                <c:ptCount val="2"/>
                <c:pt idx="0">
                  <c:v>Theta IG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hedging'!$M$86:$M$122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hedging'!$P$86:$P$122</c:f>
              <c:numCache>
                <c:formatCode>#,##0.0000_);[Red]\(#,##0.0000\)</c:formatCode>
                <c:ptCount val="37"/>
                <c:pt idx="0">
                  <c:v>-0.39631107305489638</c:v>
                </c:pt>
                <c:pt idx="1">
                  <c:v>-0.80939725962594566</c:v>
                </c:pt>
                <c:pt idx="2">
                  <c:v>-1.114427044735637</c:v>
                </c:pt>
                <c:pt idx="3">
                  <c:v>-1.3678921226567906</c:v>
                </c:pt>
                <c:pt idx="4">
                  <c:v>-1.5894921831250315</c:v>
                </c:pt>
                <c:pt idx="5">
                  <c:v>-1.7888791807006892</c:v>
                </c:pt>
                <c:pt idx="6">
                  <c:v>-1.9716368994820241</c:v>
                </c:pt>
                <c:pt idx="7">
                  <c:v>-2.1413404002227585</c:v>
                </c:pt>
                <c:pt idx="8">
                  <c:v>-3.3095162175290862</c:v>
                </c:pt>
                <c:pt idx="9">
                  <c:v>-4.1900738254128642</c:v>
                </c:pt>
                <c:pt idx="10">
                  <c:v>-4.9272993586067804</c:v>
                </c:pt>
                <c:pt idx="11">
                  <c:v>-5.5743946906972841</c:v>
                </c:pt>
                <c:pt idx="12">
                  <c:v>-6.1580504547636652</c:v>
                </c:pt>
                <c:pt idx="13">
                  <c:v>-6.6939188292234739</c:v>
                </c:pt>
                <c:pt idx="14">
                  <c:v>-7.1921110938601807</c:v>
                </c:pt>
                <c:pt idx="15">
                  <c:v>-7.6596076578643455</c:v>
                </c:pt>
                <c:pt idx="16">
                  <c:v>-8.4298811888546687</c:v>
                </c:pt>
                <c:pt idx="17">
                  <c:v>-9.1382208045311053</c:v>
                </c:pt>
                <c:pt idx="18">
                  <c:v>-9.797527243329494</c:v>
                </c:pt>
                <c:pt idx="19">
                  <c:v>-10.416761388771176</c:v>
                </c:pt>
                <c:pt idx="20">
                  <c:v>-11.002447605604631</c:v>
                </c:pt>
                <c:pt idx="21">
                  <c:v>-11.559511262207387</c:v>
                </c:pt>
                <c:pt idx="22">
                  <c:v>-12.09177887986816</c:v>
                </c:pt>
                <c:pt idx="23">
                  <c:v>-12.602293490091707</c:v>
                </c:pt>
                <c:pt idx="24">
                  <c:v>-13.093522371123921</c:v>
                </c:pt>
                <c:pt idx="25">
                  <c:v>-13.56749891399993</c:v>
                </c:pt>
                <c:pt idx="26">
                  <c:v>-14.025922478632509</c:v>
                </c:pt>
                <c:pt idx="27">
                  <c:v>-14.470230512554808</c:v>
                </c:pt>
                <c:pt idx="28">
                  <c:v>-14.90165180540065</c:v>
                </c:pt>
                <c:pt idx="29">
                  <c:v>-15.321246580851845</c:v>
                </c:pt>
                <c:pt idx="30">
                  <c:v>-15.729937196541512</c:v>
                </c:pt>
                <c:pt idx="31">
                  <c:v>-16.128532008766054</c:v>
                </c:pt>
                <c:pt idx="32">
                  <c:v>-16.517744174814279</c:v>
                </c:pt>
                <c:pt idx="33">
                  <c:v>-16.898206646657851</c:v>
                </c:pt>
                <c:pt idx="34">
                  <c:v>-17.270484258522156</c:v>
                </c:pt>
                <c:pt idx="35">
                  <c:v>-17.635083568493844</c:v>
                </c:pt>
                <c:pt idx="36">
                  <c:v>-17.99246094408992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7C-994D-8070-ED8868922CDC}"/>
            </c:ext>
          </c:extLst>
        </c:ser>
        <c:ser>
          <c:idx val="3"/>
          <c:order val="3"/>
          <c:tx>
            <c:strRef>
              <c:f>'IG hedging'!$Q$84:$Q$85</c:f>
              <c:strCache>
                <c:ptCount val="2"/>
                <c:pt idx="0">
                  <c:v>Theta IG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hedging'!$M$86:$M$122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hedging'!$Q$86:$Q$122</c:f>
              <c:numCache>
                <c:formatCode>#,##0.0000_);[Red]\(#,##0.0000\)</c:formatCode>
                <c:ptCount val="37"/>
                <c:pt idx="0">
                  <c:v>1.3986336536350978</c:v>
                </c:pt>
                <c:pt idx="1">
                  <c:v>2.1137267456392306</c:v>
                </c:pt>
                <c:pt idx="2">
                  <c:v>2.6417635071636409</c:v>
                </c:pt>
                <c:pt idx="3">
                  <c:v>3.0805366547003259</c:v>
                </c:pt>
                <c:pt idx="4">
                  <c:v>3.464148301809427</c:v>
                </c:pt>
                <c:pt idx="5">
                  <c:v>3.8093069375540138</c:v>
                </c:pt>
                <c:pt idx="6">
                  <c:v>4.125678645104415</c:v>
                </c:pt>
                <c:pt idx="7">
                  <c:v>4.4194522086213954</c:v>
                </c:pt>
                <c:pt idx="8">
                  <c:v>6.4416802190425537</c:v>
                </c:pt>
                <c:pt idx="9">
                  <c:v>7.9660126295165838</c:v>
                </c:pt>
                <c:pt idx="10">
                  <c:v>9.2422230262187739</c:v>
                </c:pt>
                <c:pt idx="11">
                  <c:v>10.362409120280891</c:v>
                </c:pt>
                <c:pt idx="12">
                  <c:v>11.372775040421571</c:v>
                </c:pt>
                <c:pt idx="13">
                  <c:v>12.300416257332088</c:v>
                </c:pt>
                <c:pt idx="14">
                  <c:v>13.16283639751833</c:v>
                </c:pt>
                <c:pt idx="15">
                  <c:v>13.972119240476687</c:v>
                </c:pt>
                <c:pt idx="16">
                  <c:v>15.305538993717629</c:v>
                </c:pt>
                <c:pt idx="17">
                  <c:v>16.531745006965572</c:v>
                </c:pt>
                <c:pt idx="18">
                  <c:v>17.673069735860814</c:v>
                </c:pt>
                <c:pt idx="19">
                  <c:v>18.745025357069341</c:v>
                </c:pt>
                <c:pt idx="20">
                  <c:v>19.7589061920016</c:v>
                </c:pt>
                <c:pt idx="21">
                  <c:v>20.723238541020194</c:v>
                </c:pt>
                <c:pt idx="22">
                  <c:v>21.64464649137113</c:v>
                </c:pt>
                <c:pt idx="23">
                  <c:v>22.528397831904645</c:v>
                </c:pt>
                <c:pt idx="24">
                  <c:v>23.378763665569814</c:v>
                </c:pt>
                <c:pt idx="25">
                  <c:v>24.199263993591156</c:v>
                </c:pt>
                <c:pt idx="26">
                  <c:v>24.992840576245257</c:v>
                </c:pt>
                <c:pt idx="27">
                  <c:v>25.761981777545454</c:v>
                </c:pt>
                <c:pt idx="28">
                  <c:v>26.508814754020428</c:v>
                </c:pt>
                <c:pt idx="29">
                  <c:v>27.235174857844836</c:v>
                </c:pt>
                <c:pt idx="30">
                  <c:v>27.942658781411787</c:v>
                </c:pt>
                <c:pt idx="31">
                  <c:v>28.632665869512348</c:v>
                </c:pt>
                <c:pt idx="32">
                  <c:v>29.306430668028991</c:v>
                </c:pt>
                <c:pt idx="33">
                  <c:v>29.965048879498426</c:v>
                </c:pt>
                <c:pt idx="34">
                  <c:v>30.609498287893672</c:v>
                </c:pt>
                <c:pt idx="35">
                  <c:v>31.240655795421176</c:v>
                </c:pt>
                <c:pt idx="36">
                  <c:v>31.859311419441575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7C-994D-8070-ED8868922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LP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'IG hedging'!$T$84:$T$85</c:f>
              <c:strCache>
                <c:ptCount val="2"/>
                <c:pt idx="0">
                  <c:v>Theta LP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hedging'!$S$86:$S$122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hedging'!$T$86:$T$122</c:f>
              <c:numCache>
                <c:formatCode>#,##0.0000_);[Red]\(#,##0.0000\)</c:formatCode>
                <c:ptCount val="37"/>
                <c:pt idx="0">
                  <c:v>0.12817937754389611</c:v>
                </c:pt>
                <c:pt idx="1">
                  <c:v>0.19298042185870906</c:v>
                </c:pt>
                <c:pt idx="2">
                  <c:v>0.24083060243798937</c:v>
                </c:pt>
                <c:pt idx="3">
                  <c:v>0.28059180065903222</c:v>
                </c:pt>
                <c:pt idx="4">
                  <c:v>0.31535431706696804</c:v>
                </c:pt>
                <c:pt idx="5">
                  <c:v>0.34663225877920056</c:v>
                </c:pt>
                <c:pt idx="6">
                  <c:v>0.37530155690298683</c:v>
                </c:pt>
                <c:pt idx="7">
                  <c:v>0.40192303307279759</c:v>
                </c:pt>
                <c:pt idx="8">
                  <c:v>0.58517537935221076</c:v>
                </c:pt>
                <c:pt idx="9">
                  <c:v>0.72330890796006719</c:v>
                </c:pt>
                <c:pt idx="10">
                  <c:v>0.8389578596789935</c:v>
                </c:pt>
                <c:pt idx="11">
                  <c:v>0.94046804000910489</c:v>
                </c:pt>
                <c:pt idx="12">
                  <c:v>1.0320264224033713</c:v>
                </c:pt>
                <c:pt idx="13">
                  <c:v>1.1160883722074095</c:v>
                </c:pt>
                <c:pt idx="14">
                  <c:v>1.1942400511245828</c:v>
                </c:pt>
                <c:pt idx="15">
                  <c:v>1.2675764795646709</c:v>
                </c:pt>
                <c:pt idx="16">
                  <c:v>1.3884096878366843</c:v>
                </c:pt>
                <c:pt idx="17">
                  <c:v>1.4995272906943424</c:v>
                </c:pt>
                <c:pt idx="18">
                  <c:v>1.6029530336664273</c:v>
                </c:pt>
                <c:pt idx="19">
                  <c:v>1.7000926151980653</c:v>
                </c:pt>
                <c:pt idx="20">
                  <c:v>1.7919695157709004</c:v>
                </c:pt>
                <c:pt idx="21">
                  <c:v>1.8793563804766225</c:v>
                </c:pt>
                <c:pt idx="22">
                  <c:v>1.9628534776942341</c:v>
                </c:pt>
                <c:pt idx="23">
                  <c:v>2.0429381693540116</c:v>
                </c:pt>
                <c:pt idx="24">
                  <c:v>2.1199974986739223</c:v>
                </c:pt>
                <c:pt idx="25">
                  <c:v>2.1943504447601674</c:v>
                </c:pt>
                <c:pt idx="26">
                  <c:v>2.2662635870835572</c:v>
                </c:pt>
                <c:pt idx="27">
                  <c:v>2.3359624187840797</c:v>
                </c:pt>
                <c:pt idx="28">
                  <c:v>2.4036397007288466</c:v>
                </c:pt>
                <c:pt idx="29">
                  <c:v>2.4694617507566572</c:v>
                </c:pt>
                <c:pt idx="30">
                  <c:v>2.5335732595877545</c:v>
                </c:pt>
                <c:pt idx="31">
                  <c:v>2.5961010344935715</c:v>
                </c:pt>
                <c:pt idx="32">
                  <c:v>2.6571569488278497</c:v>
                </c:pt>
                <c:pt idx="33">
                  <c:v>2.7168402940946321</c:v>
                </c:pt>
                <c:pt idx="34">
                  <c:v>2.7752396761317812</c:v>
                </c:pt>
                <c:pt idx="35">
                  <c:v>2.8324345589690498</c:v>
                </c:pt>
                <c:pt idx="36">
                  <c:v>2.8884965332155059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1-6449-A8B1-CE27E4293DD3}"/>
            </c:ext>
          </c:extLst>
        </c:ser>
        <c:ser>
          <c:idx val="1"/>
          <c:order val="1"/>
          <c:tx>
            <c:strRef>
              <c:f>'IG hedging'!$U$84:$U$85</c:f>
              <c:strCache>
                <c:ptCount val="2"/>
                <c:pt idx="0">
                  <c:v>Theta LP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hedging'!$S$86:$S$122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hedging'!$U$86:$U$122</c:f>
              <c:numCache>
                <c:formatCode>#,##0.0000_);[Red]\(#,##0.0000\)</c:formatCode>
                <c:ptCount val="37"/>
                <c:pt idx="0">
                  <c:v>0.38411006629358013</c:v>
                </c:pt>
                <c:pt idx="1">
                  <c:v>0.57991125345936045</c:v>
                </c:pt>
                <c:pt idx="2">
                  <c:v>0.72449414193880368</c:v>
                </c:pt>
                <c:pt idx="3">
                  <c:v>0.84463556708300369</c:v>
                </c:pt>
                <c:pt idx="4">
                  <c:v>0.94967310241154834</c:v>
                </c:pt>
                <c:pt idx="5">
                  <c:v>1.0441817354762357</c:v>
                </c:pt>
                <c:pt idx="6">
                  <c:v>1.1308081574298068</c:v>
                </c:pt>
                <c:pt idx="7">
                  <c:v>1.21124693265743</c:v>
                </c:pt>
                <c:pt idx="8">
                  <c:v>1.764957560808861</c:v>
                </c:pt>
                <c:pt idx="9">
                  <c:v>2.182338317165498</c:v>
                </c:pt>
                <c:pt idx="10">
                  <c:v>2.5317802479318434</c:v>
                </c:pt>
                <c:pt idx="11">
                  <c:v>2.8385008267158622</c:v>
                </c:pt>
                <c:pt idx="12">
                  <c:v>3.1151513059995413</c:v>
                </c:pt>
                <c:pt idx="13">
                  <c:v>3.3691507552543793</c:v>
                </c:pt>
                <c:pt idx="14">
                  <c:v>3.6052918803362708</c:v>
                </c:pt>
                <c:pt idx="15">
                  <c:v>3.8268833670615106</c:v>
                </c:pt>
                <c:pt idx="16">
                  <c:v>4.1919899155573948</c:v>
                </c:pt>
                <c:pt idx="17">
                  <c:v>4.5277400378678738</c:v>
                </c:pt>
                <c:pt idx="18">
                  <c:v>4.8402486320049567</c:v>
                </c:pt>
                <c:pt idx="19">
                  <c:v>5.1337631206338692</c:v>
                </c:pt>
                <c:pt idx="20">
                  <c:v>5.4113760263438033</c:v>
                </c:pt>
                <c:pt idx="21">
                  <c:v>5.6754219538901367</c:v>
                </c:pt>
                <c:pt idx="22">
                  <c:v>5.9277146589379139</c:v>
                </c:pt>
                <c:pt idx="23">
                  <c:v>6.1696965261530599</c:v>
                </c:pt>
                <c:pt idx="24">
                  <c:v>6.4025370354778177</c:v>
                </c:pt>
                <c:pt idx="25">
                  <c:v>6.6272000060656575</c:v>
                </c:pt>
                <c:pt idx="26">
                  <c:v>6.8444909276646282</c:v>
                </c:pt>
                <c:pt idx="27">
                  <c:v>7.0550911446106799</c:v>
                </c:pt>
                <c:pt idx="28">
                  <c:v>7.2595830982366385</c:v>
                </c:pt>
                <c:pt idx="29">
                  <c:v>7.45846933029362</c:v>
                </c:pt>
                <c:pt idx="30">
                  <c:v>7.6521870345814325</c:v>
                </c:pt>
                <c:pt idx="31">
                  <c:v>7.8411193687258534</c:v>
                </c:pt>
                <c:pt idx="32">
                  <c:v>8.0256043664068404</c:v>
                </c:pt>
                <c:pt idx="33">
                  <c:v>8.2059420443073456</c:v>
                </c:pt>
                <c:pt idx="34">
                  <c:v>8.3824001315732009</c:v>
                </c:pt>
                <c:pt idx="35">
                  <c:v>8.5552187346953907</c:v>
                </c:pt>
                <c:pt idx="36">
                  <c:v>8.7246141700372277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21-6449-A8B1-CE27E4293DD3}"/>
            </c:ext>
          </c:extLst>
        </c:ser>
        <c:ser>
          <c:idx val="2"/>
          <c:order val="2"/>
          <c:tx>
            <c:strRef>
              <c:f>'IG hedging'!$Z$84:$Z$85</c:f>
              <c:strCache>
                <c:ptCount val="2"/>
                <c:pt idx="0">
                  <c:v>Theta LP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hedging'!$S$86:$S$122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hedging'!$Z$86:$Z$122</c:f>
              <c:numCache>
                <c:formatCode>#,##0.0000_);[Red]\(#,##0.0000\)</c:formatCode>
                <c:ptCount val="37"/>
                <c:pt idx="0">
                  <c:v>0.80861265340930433</c:v>
                </c:pt>
                <c:pt idx="1">
                  <c:v>1.2216988399803537</c:v>
                </c:pt>
                <c:pt idx="2">
                  <c:v>1.5267286250900451</c:v>
                </c:pt>
                <c:pt idx="3">
                  <c:v>1.7801937030111985</c:v>
                </c:pt>
                <c:pt idx="4">
                  <c:v>2.0017937634794398</c:v>
                </c:pt>
                <c:pt idx="5">
                  <c:v>2.2011807610550971</c:v>
                </c:pt>
                <c:pt idx="6">
                  <c:v>2.3839384798364325</c:v>
                </c:pt>
                <c:pt idx="7">
                  <c:v>2.5536419805771668</c:v>
                </c:pt>
                <c:pt idx="8">
                  <c:v>3.721817797883495</c:v>
                </c:pt>
                <c:pt idx="9">
                  <c:v>4.6023754057672726</c:v>
                </c:pt>
                <c:pt idx="10">
                  <c:v>5.3396009389611887</c:v>
                </c:pt>
                <c:pt idx="11">
                  <c:v>5.9866962710516933</c:v>
                </c:pt>
                <c:pt idx="12">
                  <c:v>6.5703520351180726</c:v>
                </c:pt>
                <c:pt idx="13">
                  <c:v>7.1062204095778814</c:v>
                </c:pt>
                <c:pt idx="14">
                  <c:v>7.6044126742145899</c:v>
                </c:pt>
                <c:pt idx="15">
                  <c:v>8.0719092382187529</c:v>
                </c:pt>
                <c:pt idx="16">
                  <c:v>8.8421827692090762</c:v>
                </c:pt>
                <c:pt idx="17">
                  <c:v>9.5505223848855127</c:v>
                </c:pt>
                <c:pt idx="18">
                  <c:v>10.209828823683901</c:v>
                </c:pt>
                <c:pt idx="19">
                  <c:v>10.829062969125584</c:v>
                </c:pt>
                <c:pt idx="20">
                  <c:v>11.414749185959039</c:v>
                </c:pt>
                <c:pt idx="21">
                  <c:v>11.971812842561796</c:v>
                </c:pt>
                <c:pt idx="22">
                  <c:v>12.504080460222566</c:v>
                </c:pt>
                <c:pt idx="23">
                  <c:v>13.014595070446116</c:v>
                </c:pt>
                <c:pt idx="24">
                  <c:v>13.50582395147833</c:v>
                </c:pt>
                <c:pt idx="25">
                  <c:v>13.979800494354336</c:v>
                </c:pt>
                <c:pt idx="26">
                  <c:v>14.438224058986917</c:v>
                </c:pt>
                <c:pt idx="27">
                  <c:v>14.882532092909214</c:v>
                </c:pt>
                <c:pt idx="28">
                  <c:v>15.313953385755056</c:v>
                </c:pt>
                <c:pt idx="29">
                  <c:v>15.733548161206253</c:v>
                </c:pt>
                <c:pt idx="30">
                  <c:v>16.142238776895919</c:v>
                </c:pt>
                <c:pt idx="31">
                  <c:v>16.54083358912046</c:v>
                </c:pt>
                <c:pt idx="32">
                  <c:v>16.930045755168685</c:v>
                </c:pt>
                <c:pt idx="33">
                  <c:v>17.310508227012257</c:v>
                </c:pt>
                <c:pt idx="34">
                  <c:v>17.682785838876566</c:v>
                </c:pt>
                <c:pt idx="35">
                  <c:v>18.04738514884825</c:v>
                </c:pt>
                <c:pt idx="36">
                  <c:v>18.404762524444326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21-6449-A8B1-CE27E4293DD3}"/>
            </c:ext>
          </c:extLst>
        </c:ser>
        <c:ser>
          <c:idx val="3"/>
          <c:order val="3"/>
          <c:tx>
            <c:strRef>
              <c:f>'IG hedging'!$AA$84:$AA$85</c:f>
              <c:strCache>
                <c:ptCount val="2"/>
                <c:pt idx="0">
                  <c:v>Theta LP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hedging'!$S$86:$S$122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hedging'!$AA$86:$AA$122</c:f>
              <c:numCache>
                <c:formatCode>#,##0.0000_);[Red]\(#,##0.0000\)</c:formatCode>
                <c:ptCount val="37"/>
                <c:pt idx="0">
                  <c:v>1.3986336536350978</c:v>
                </c:pt>
                <c:pt idx="1">
                  <c:v>2.1137267456392306</c:v>
                </c:pt>
                <c:pt idx="2">
                  <c:v>2.6417635071636409</c:v>
                </c:pt>
                <c:pt idx="3">
                  <c:v>3.0805366547003259</c:v>
                </c:pt>
                <c:pt idx="4">
                  <c:v>3.464148301809427</c:v>
                </c:pt>
                <c:pt idx="5">
                  <c:v>3.8093069375540138</c:v>
                </c:pt>
                <c:pt idx="6">
                  <c:v>4.125678645104415</c:v>
                </c:pt>
                <c:pt idx="7">
                  <c:v>4.4194522086213954</c:v>
                </c:pt>
                <c:pt idx="8">
                  <c:v>6.4416802190425537</c:v>
                </c:pt>
                <c:pt idx="9">
                  <c:v>7.9660126295165838</c:v>
                </c:pt>
                <c:pt idx="10">
                  <c:v>9.2422230262187739</c:v>
                </c:pt>
                <c:pt idx="11">
                  <c:v>10.362409120280891</c:v>
                </c:pt>
                <c:pt idx="12">
                  <c:v>11.372775040421571</c:v>
                </c:pt>
                <c:pt idx="13">
                  <c:v>12.300416257332088</c:v>
                </c:pt>
                <c:pt idx="14">
                  <c:v>13.16283639751833</c:v>
                </c:pt>
                <c:pt idx="15">
                  <c:v>13.972119240476687</c:v>
                </c:pt>
                <c:pt idx="16">
                  <c:v>15.305538993717629</c:v>
                </c:pt>
                <c:pt idx="17">
                  <c:v>16.531745006965572</c:v>
                </c:pt>
                <c:pt idx="18">
                  <c:v>17.673069735860814</c:v>
                </c:pt>
                <c:pt idx="19">
                  <c:v>18.745025357069341</c:v>
                </c:pt>
                <c:pt idx="20">
                  <c:v>19.7589061920016</c:v>
                </c:pt>
                <c:pt idx="21">
                  <c:v>20.723238541020194</c:v>
                </c:pt>
                <c:pt idx="22">
                  <c:v>21.64464649137113</c:v>
                </c:pt>
                <c:pt idx="23">
                  <c:v>22.528397831904645</c:v>
                </c:pt>
                <c:pt idx="24">
                  <c:v>23.378763665569814</c:v>
                </c:pt>
                <c:pt idx="25">
                  <c:v>24.199263993591156</c:v>
                </c:pt>
                <c:pt idx="26">
                  <c:v>24.992840576245257</c:v>
                </c:pt>
                <c:pt idx="27">
                  <c:v>25.761981777545454</c:v>
                </c:pt>
                <c:pt idx="28">
                  <c:v>26.508814754020428</c:v>
                </c:pt>
                <c:pt idx="29">
                  <c:v>27.235174857844836</c:v>
                </c:pt>
                <c:pt idx="30">
                  <c:v>27.942658781411787</c:v>
                </c:pt>
                <c:pt idx="31">
                  <c:v>28.632665869512348</c:v>
                </c:pt>
                <c:pt idx="32">
                  <c:v>29.306430668028991</c:v>
                </c:pt>
                <c:pt idx="33">
                  <c:v>29.965048879498426</c:v>
                </c:pt>
                <c:pt idx="34">
                  <c:v>30.609498287893672</c:v>
                </c:pt>
                <c:pt idx="35">
                  <c:v>31.240655795421176</c:v>
                </c:pt>
                <c:pt idx="36">
                  <c:v>31.859311419441575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21-6449-A8B1-CE27E4293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IG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'IG hedging'!$AD$84:$AD$85</c:f>
              <c:strCache>
                <c:ptCount val="2"/>
                <c:pt idx="0">
                  <c:v>Gamma IG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hedging'!$AC$86:$AC$122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hedging'!$AD$86:$AD$122</c:f>
              <c:numCache>
                <c:formatCode>#,##0.0000_);[Red]\(#,##0.0000\)</c:formatCode>
                <c:ptCount val="37"/>
                <c:pt idx="0">
                  <c:v>2.4977774308563525</c:v>
                </c:pt>
                <c:pt idx="1">
                  <c:v>0.72280445917265912</c:v>
                </c:pt>
                <c:pt idx="2">
                  <c:v>0.37007588309640155</c:v>
                </c:pt>
                <c:pt idx="3">
                  <c:v>0.23333636156763748</c:v>
                </c:pt>
                <c:pt idx="4">
                  <c:v>0.16405826478714342</c:v>
                </c:pt>
                <c:pt idx="5">
                  <c:v>0.12336608471862914</c:v>
                </c:pt>
                <c:pt idx="6">
                  <c:v>9.7097052069824608E-2</c:v>
                </c:pt>
                <c:pt idx="7">
                  <c:v>7.8986657696698104E-2</c:v>
                </c:pt>
                <c:pt idx="8">
                  <c:v>2.5498541251989422E-2</c:v>
                </c:pt>
                <c:pt idx="9">
                  <c:v>1.3481204468779524E-2</c:v>
                </c:pt>
                <c:pt idx="10">
                  <c:v>8.6315074774671059E-3</c:v>
                </c:pt>
                <c:pt idx="11">
                  <c:v>6.1236407285350696E-3</c:v>
                </c:pt>
                <c:pt idx="12">
                  <c:v>4.6320678602659914E-3</c:v>
                </c:pt>
                <c:pt idx="13">
                  <c:v>3.6610122610841178E-3</c:v>
                </c:pt>
                <c:pt idx="14">
                  <c:v>2.9874537777230758E-3</c:v>
                </c:pt>
                <c:pt idx="15">
                  <c:v>2.4977774308563546E-3</c:v>
                </c:pt>
                <c:pt idx="16">
                  <c:v>1.9001236701490629E-3</c:v>
                </c:pt>
                <c:pt idx="17">
                  <c:v>1.507862302180793E-3</c:v>
                </c:pt>
                <c:pt idx="18">
                  <c:v>1.2341665265109083E-3</c:v>
                </c:pt>
                <c:pt idx="19">
                  <c:v>1.0342963200110338E-3</c:v>
                </c:pt>
                <c:pt idx="20">
                  <c:v>8.8309767962662104E-4</c:v>
                </c:pt>
                <c:pt idx="21">
                  <c:v>7.6545509106688348E-4</c:v>
                </c:pt>
                <c:pt idx="22">
                  <c:v>6.7179516612773569E-4</c:v>
                </c:pt>
                <c:pt idx="23">
                  <c:v>5.9579069365227452E-4</c:v>
                </c:pt>
                <c:pt idx="24">
                  <c:v>5.3310982948379928E-4</c:v>
                </c:pt>
                <c:pt idx="25">
                  <c:v>4.806974906935627E-4</c:v>
                </c:pt>
                <c:pt idx="26">
                  <c:v>4.3634376000465465E-4</c:v>
                </c:pt>
                <c:pt idx="27">
                  <c:v>3.984147070623351E-4</c:v>
                </c:pt>
                <c:pt idx="28">
                  <c:v>3.6567897081804767E-4</c:v>
                </c:pt>
                <c:pt idx="29">
                  <c:v>3.3719283847177475E-4</c:v>
                </c:pt>
                <c:pt idx="30">
                  <c:v>3.1222217885704427E-4</c:v>
                </c:pt>
                <c:pt idx="31">
                  <c:v>2.9018823535498987E-4</c:v>
                </c:pt>
                <c:pt idx="32">
                  <c:v>2.706292427935795E-4</c:v>
                </c:pt>
                <c:pt idx="33">
                  <c:v>2.5317276784648759E-4</c:v>
                </c:pt>
                <c:pt idx="34">
                  <c:v>2.3751545876863275E-4</c:v>
                </c:pt>
                <c:pt idx="35">
                  <c:v>2.2340800512238345E-4</c:v>
                </c:pt>
                <c:pt idx="36">
                  <c:v>2.1064381982467993E-4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61-484E-B760-377FCEEB682E}"/>
            </c:ext>
          </c:extLst>
        </c:ser>
        <c:ser>
          <c:idx val="1"/>
          <c:order val="1"/>
          <c:tx>
            <c:strRef>
              <c:f>'IG hedging'!$AE$84:$AE$85</c:f>
              <c:strCache>
                <c:ptCount val="2"/>
                <c:pt idx="0">
                  <c:v>Gamma IG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hedging'!$AC$86:$AC$122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hedging'!$AE$86:$AE$122</c:f>
              <c:numCache>
                <c:formatCode>#,##0.0000_);[Red]\(#,##0.0000\)</c:formatCode>
                <c:ptCount val="37"/>
                <c:pt idx="0">
                  <c:v>2.4932782832942344</c:v>
                </c:pt>
                <c:pt idx="1">
                  <c:v>0.72150250012690853</c:v>
                </c:pt>
                <c:pt idx="2">
                  <c:v>0.36940928006497725</c:v>
                </c:pt>
                <c:pt idx="3">
                  <c:v>0.23291606202079568</c:v>
                </c:pt>
                <c:pt idx="4">
                  <c:v>0.16376275313228417</c:v>
                </c:pt>
                <c:pt idx="5">
                  <c:v>0.12314387027611989</c:v>
                </c:pt>
                <c:pt idx="6">
                  <c:v>9.6922154995444737E-2</c:v>
                </c:pt>
                <c:pt idx="7">
                  <c:v>7.8844382158443221E-2</c:v>
                </c:pt>
                <c:pt idx="8">
                  <c:v>2.5452611739497939E-2</c:v>
                </c:pt>
                <c:pt idx="9">
                  <c:v>1.3456921309090899E-2</c:v>
                </c:pt>
                <c:pt idx="10">
                  <c:v>8.6159598848974429E-3</c:v>
                </c:pt>
                <c:pt idx="11">
                  <c:v>6.1126104570165896E-3</c:v>
                </c:pt>
                <c:pt idx="12">
                  <c:v>4.6237242998816153E-3</c:v>
                </c:pt>
                <c:pt idx="13">
                  <c:v>3.654417824692043E-3</c:v>
                </c:pt>
                <c:pt idx="14">
                  <c:v>2.9820725955509012E-3</c:v>
                </c:pt>
                <c:pt idx="15">
                  <c:v>2.493278283294236E-3</c:v>
                </c:pt>
                <c:pt idx="16">
                  <c:v>1.8967010526361231E-3</c:v>
                </c:pt>
                <c:pt idx="17">
                  <c:v>1.5051462495345245E-3</c:v>
                </c:pt>
                <c:pt idx="18">
                  <c:v>1.2319434712256758E-3</c:v>
                </c:pt>
                <c:pt idx="19">
                  <c:v>1.0324332830129413E-3</c:v>
                </c:pt>
                <c:pt idx="20">
                  <c:v>8.8150699075125469E-4</c:v>
                </c:pt>
                <c:pt idx="21">
                  <c:v>7.6407630712707348E-4</c:v>
                </c:pt>
                <c:pt idx="22">
                  <c:v>6.7058508810133191E-4</c:v>
                </c:pt>
                <c:pt idx="23">
                  <c:v>5.9471751947199562E-4</c:v>
                </c:pt>
                <c:pt idx="24">
                  <c:v>5.3214955986168131E-4</c:v>
                </c:pt>
                <c:pt idx="25">
                  <c:v>4.7983162934152508E-4</c:v>
                </c:pt>
                <c:pt idx="26">
                  <c:v>4.355577912710844E-4</c:v>
                </c:pt>
                <c:pt idx="27">
                  <c:v>3.9769705842965567E-4</c:v>
                </c:pt>
                <c:pt idx="28">
                  <c:v>3.650202877705714E-4</c:v>
                </c:pt>
                <c:pt idx="29">
                  <c:v>3.3658546636630498E-4</c:v>
                </c:pt>
                <c:pt idx="30">
                  <c:v>3.1165978541177944E-4</c:v>
                </c:pt>
                <c:pt idx="31">
                  <c:v>2.8966553077950443E-4</c:v>
                </c:pt>
                <c:pt idx="32">
                  <c:v>2.7014176905676407E-4</c:v>
                </c:pt>
                <c:pt idx="33">
                  <c:v>2.5271673776663343E-4</c:v>
                </c:pt>
                <c:pt idx="34">
                  <c:v>2.3708763157951528E-4</c:v>
                </c:pt>
                <c:pt idx="35">
                  <c:v>2.2300558913079547E-4</c:v>
                </c:pt>
                <c:pt idx="36">
                  <c:v>2.1026439545454516E-4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1-484E-B760-377FCEEB682E}"/>
            </c:ext>
          </c:extLst>
        </c:ser>
        <c:ser>
          <c:idx val="2"/>
          <c:order val="2"/>
          <c:tx>
            <c:strRef>
              <c:f>'IG hedging'!$AF$84:$AF$85</c:f>
              <c:strCache>
                <c:ptCount val="2"/>
                <c:pt idx="0">
                  <c:v>Gamma IG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hedging'!$AC$86:$AC$122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hedging'!$AF$86:$AF$122</c:f>
              <c:numCache>
                <c:formatCode>#,##0.0000_);[Red]\(#,##0.0000\)</c:formatCode>
                <c:ptCount val="37"/>
                <c:pt idx="0">
                  <c:v>2.4857977060060459</c:v>
                </c:pt>
                <c:pt idx="1">
                  <c:v>0.7193377777804365</c:v>
                </c:pt>
                <c:pt idx="2">
                  <c:v>0.36830094222358362</c:v>
                </c:pt>
                <c:pt idx="3">
                  <c:v>0.23221724447793202</c:v>
                </c:pt>
                <c:pt idx="4">
                  <c:v>0.16327141610827819</c:v>
                </c:pt>
                <c:pt idx="5">
                  <c:v>0.12277440199600877</c:v>
                </c:pt>
                <c:pt idx="6">
                  <c:v>9.663135966937178E-2</c:v>
                </c:pt>
                <c:pt idx="7">
                  <c:v>7.860782553400722E-2</c:v>
                </c:pt>
                <c:pt idx="8">
                  <c:v>2.5376246325103845E-2</c:v>
                </c:pt>
                <c:pt idx="9">
                  <c:v>1.3416546538016119E-2</c:v>
                </c:pt>
                <c:pt idx="10">
                  <c:v>8.5901094396171242E-3</c:v>
                </c:pt>
                <c:pt idx="11">
                  <c:v>6.0942708054571634E-3</c:v>
                </c:pt>
                <c:pt idx="12">
                  <c:v>4.6098517501480816E-3</c:v>
                </c:pt>
                <c:pt idx="13">
                  <c:v>3.6434534830202332E-3</c:v>
                </c:pt>
                <c:pt idx="14">
                  <c:v>2.9731254897747529E-3</c:v>
                </c:pt>
                <c:pt idx="15">
                  <c:v>2.4857977060060476E-3</c:v>
                </c:pt>
                <c:pt idx="16">
                  <c:v>1.8910103846862597E-3</c:v>
                </c:pt>
                <c:pt idx="17">
                  <c:v>1.5006303625895688E-3</c:v>
                </c:pt>
                <c:pt idx="18">
                  <c:v>1.2282472739688632E-3</c:v>
                </c:pt>
                <c:pt idx="19">
                  <c:v>1.0293356757301024E-3</c:v>
                </c:pt>
                <c:pt idx="20">
                  <c:v>8.7886220728742063E-4</c:v>
                </c:pt>
                <c:pt idx="21">
                  <c:v>7.617838506821452E-4</c:v>
                </c:pt>
                <c:pt idx="22">
                  <c:v>6.6857313315291729E-4</c:v>
                </c:pt>
                <c:pt idx="23">
                  <c:v>5.9293318982100616E-4</c:v>
                </c:pt>
                <c:pt idx="24">
                  <c:v>5.3055295272075634E-4</c:v>
                </c:pt>
                <c:pt idx="25">
                  <c:v>4.7839199157118198E-4</c:v>
                </c:pt>
                <c:pt idx="26">
                  <c:v>4.3425098819863676E-4</c:v>
                </c:pt>
                <c:pt idx="27">
                  <c:v>3.965038488297479E-4</c:v>
                </c:pt>
                <c:pt idx="28">
                  <c:v>3.6392511821299725E-4</c:v>
                </c:pt>
                <c:pt idx="29">
                  <c:v>3.355756097401496E-4</c:v>
                </c:pt>
                <c:pt idx="30">
                  <c:v>3.1072471325075589E-4</c:v>
                </c:pt>
                <c:pt idx="31">
                  <c:v>2.8879644793173778E-4</c:v>
                </c:pt>
                <c:pt idx="32">
                  <c:v>2.6933126330787229E-4</c:v>
                </c:pt>
                <c:pt idx="33">
                  <c:v>2.5195851230036726E-4</c:v>
                </c:pt>
                <c:pt idx="34">
                  <c:v>2.3637629808578235E-4</c:v>
                </c:pt>
                <c:pt idx="35">
                  <c:v>2.2233650595770228E-4</c:v>
                </c:pt>
                <c:pt idx="36">
                  <c:v>2.0963353965650173E-4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1-484E-B760-377FCEEB682E}"/>
            </c:ext>
          </c:extLst>
        </c:ser>
        <c:ser>
          <c:idx val="3"/>
          <c:order val="3"/>
          <c:tx>
            <c:strRef>
              <c:f>'IG hedging'!$AG$84:$AG$85</c:f>
              <c:strCache>
                <c:ptCount val="2"/>
                <c:pt idx="0">
                  <c:v>Gamma IG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hedging'!$AC$86:$AC$122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hedging'!$AG$86:$AG$122</c:f>
              <c:numCache>
                <c:formatCode>#,##0.0000_);[Red]\(#,##0.0000\)</c:formatCode>
                <c:ptCount val="37"/>
                <c:pt idx="0">
                  <c:v>2.4753625885637427</c:v>
                </c:pt>
                <c:pt idx="1">
                  <c:v>0.71631807341202081</c:v>
                </c:pt>
                <c:pt idx="2">
                  <c:v>0.3667548535869547</c:v>
                </c:pt>
                <c:pt idx="3">
                  <c:v>0.23124242089820127</c:v>
                </c:pt>
                <c:pt idx="4">
                  <c:v>0.16258601986789042</c:v>
                </c:pt>
                <c:pt idx="5">
                  <c:v>0.12225900796348495</c:v>
                </c:pt>
                <c:pt idx="6">
                  <c:v>9.6225711380163448E-2</c:v>
                </c:pt>
                <c:pt idx="7">
                  <c:v>7.8277838146316919E-2</c:v>
                </c:pt>
                <c:pt idx="8">
                  <c:v>2.5269719510790888E-2</c:v>
                </c:pt>
                <c:pt idx="9">
                  <c:v>1.3360225286107301E-2</c:v>
                </c:pt>
                <c:pt idx="10">
                  <c:v>8.5540490632526021E-3</c:v>
                </c:pt>
                <c:pt idx="11">
                  <c:v>6.0686876972957495E-3</c:v>
                </c:pt>
                <c:pt idx="12">
                  <c:v>4.5905000771265091E-3</c:v>
                </c:pt>
                <c:pt idx="13">
                  <c:v>3.6281586483283257E-3</c:v>
                </c:pt>
                <c:pt idx="14">
                  <c:v>2.9606446215280956E-3</c:v>
                </c:pt>
                <c:pt idx="15">
                  <c:v>2.4753625885637442E-3</c:v>
                </c:pt>
                <c:pt idx="16">
                  <c:v>1.8830721218899191E-3</c:v>
                </c:pt>
                <c:pt idx="17">
                  <c:v>1.49433087408603E-3</c:v>
                </c:pt>
                <c:pt idx="18">
                  <c:v>1.2230912210362023E-3</c:v>
                </c:pt>
                <c:pt idx="19">
                  <c:v>1.0250146327756239E-3</c:v>
                </c:pt>
                <c:pt idx="20">
                  <c:v>8.7517283613445531E-4</c:v>
                </c:pt>
                <c:pt idx="21">
                  <c:v>7.5858596216196847E-4</c:v>
                </c:pt>
                <c:pt idx="22">
                  <c:v>6.6576653342585062E-4</c:v>
                </c:pt>
                <c:pt idx="23">
                  <c:v>5.9044411862415366E-4</c:v>
                </c:pt>
                <c:pt idx="24">
                  <c:v>5.2832574720132681E-4</c:v>
                </c:pt>
                <c:pt idx="25">
                  <c:v>4.7638375228306888E-4</c:v>
                </c:pt>
                <c:pt idx="26">
                  <c:v>4.3242804820221609E-4</c:v>
                </c:pt>
                <c:pt idx="27">
                  <c:v>3.9483936735610795E-4</c:v>
                </c:pt>
                <c:pt idx="28">
                  <c:v>3.6239739882554218E-4</c:v>
                </c:pt>
                <c:pt idx="29">
                  <c:v>3.3416689860892994E-4</c:v>
                </c:pt>
                <c:pt idx="30">
                  <c:v>3.0942032357046797E-4</c:v>
                </c:pt>
                <c:pt idx="31">
                  <c:v>2.875841108039794E-4</c:v>
                </c:pt>
                <c:pt idx="32">
                  <c:v>2.6820063897882451E-4</c:v>
                </c:pt>
                <c:pt idx="33">
                  <c:v>2.5090081695368241E-4</c:v>
                </c:pt>
                <c:pt idx="34">
                  <c:v>2.3538401523623978E-4</c:v>
                </c:pt>
                <c:pt idx="35">
                  <c:v>2.214031606795349E-4</c:v>
                </c:pt>
                <c:pt idx="36">
                  <c:v>2.0875352009542644E-4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1-484E-B760-377FCEEB6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LP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'IG hedging'!$AJ$84:$AJ$85</c:f>
              <c:strCache>
                <c:ptCount val="2"/>
                <c:pt idx="0">
                  <c:v>Gamma LP</c:v>
                </c:pt>
                <c:pt idx="1">
                  <c:v>Vol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hedging'!$AI$86:$AI$122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hedging'!$AJ$86:$AJ$122</c:f>
              <c:numCache>
                <c:formatCode>#,##0.0000_);[Red]\(#,##0.0000\)</c:formatCode>
                <c:ptCount val="37"/>
                <c:pt idx="0">
                  <c:v>-2.4977774308563525</c:v>
                </c:pt>
                <c:pt idx="1">
                  <c:v>-0.72280445917265912</c:v>
                </c:pt>
                <c:pt idx="2">
                  <c:v>-0.37007588309640155</c:v>
                </c:pt>
                <c:pt idx="3">
                  <c:v>-0.23333636156763748</c:v>
                </c:pt>
                <c:pt idx="4">
                  <c:v>-0.16405826478714342</c:v>
                </c:pt>
                <c:pt idx="5">
                  <c:v>-0.12336608471862914</c:v>
                </c:pt>
                <c:pt idx="6">
                  <c:v>-9.7097052069824608E-2</c:v>
                </c:pt>
                <c:pt idx="7">
                  <c:v>-7.8986657696698104E-2</c:v>
                </c:pt>
                <c:pt idx="8">
                  <c:v>-2.5498541251989422E-2</c:v>
                </c:pt>
                <c:pt idx="9">
                  <c:v>-1.3481204468779524E-2</c:v>
                </c:pt>
                <c:pt idx="10">
                  <c:v>-8.6315074774671059E-3</c:v>
                </c:pt>
                <c:pt idx="11">
                  <c:v>-6.1236407285350696E-3</c:v>
                </c:pt>
                <c:pt idx="12">
                  <c:v>-4.6320678602659914E-3</c:v>
                </c:pt>
                <c:pt idx="13">
                  <c:v>-3.6610122610841178E-3</c:v>
                </c:pt>
                <c:pt idx="14">
                  <c:v>-2.9874537777230758E-3</c:v>
                </c:pt>
                <c:pt idx="15">
                  <c:v>-2.4977774308563546E-3</c:v>
                </c:pt>
                <c:pt idx="16">
                  <c:v>-1.9001236701490629E-3</c:v>
                </c:pt>
                <c:pt idx="17">
                  <c:v>-1.507862302180793E-3</c:v>
                </c:pt>
                <c:pt idx="18">
                  <c:v>-1.2341665265109083E-3</c:v>
                </c:pt>
                <c:pt idx="19">
                  <c:v>-1.0342963200110338E-3</c:v>
                </c:pt>
                <c:pt idx="20">
                  <c:v>-8.8309767962662104E-4</c:v>
                </c:pt>
                <c:pt idx="21">
                  <c:v>-7.6545509106688348E-4</c:v>
                </c:pt>
                <c:pt idx="22">
                  <c:v>-6.7179516612773569E-4</c:v>
                </c:pt>
                <c:pt idx="23">
                  <c:v>-5.9579069365227452E-4</c:v>
                </c:pt>
                <c:pt idx="24">
                  <c:v>-5.3310982948379928E-4</c:v>
                </c:pt>
                <c:pt idx="25">
                  <c:v>-4.806974906935627E-4</c:v>
                </c:pt>
                <c:pt idx="26">
                  <c:v>-4.3634376000465465E-4</c:v>
                </c:pt>
                <c:pt idx="27">
                  <c:v>-3.984147070623351E-4</c:v>
                </c:pt>
                <c:pt idx="28">
                  <c:v>-3.6567897081804767E-4</c:v>
                </c:pt>
                <c:pt idx="29">
                  <c:v>-3.3719283847177475E-4</c:v>
                </c:pt>
                <c:pt idx="30">
                  <c:v>-3.1222217885704427E-4</c:v>
                </c:pt>
                <c:pt idx="31">
                  <c:v>-2.9018823535498987E-4</c:v>
                </c:pt>
                <c:pt idx="32">
                  <c:v>-2.706292427935795E-4</c:v>
                </c:pt>
                <c:pt idx="33">
                  <c:v>-2.5317276784648759E-4</c:v>
                </c:pt>
                <c:pt idx="34">
                  <c:v>-2.3751545876863275E-4</c:v>
                </c:pt>
                <c:pt idx="35">
                  <c:v>-2.2340800512238345E-4</c:v>
                </c:pt>
                <c:pt idx="36">
                  <c:v>-2.1064381982467993E-4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C-A04B-BDEE-8CD35AFDF6F6}"/>
            </c:ext>
          </c:extLst>
        </c:ser>
        <c:ser>
          <c:idx val="1"/>
          <c:order val="1"/>
          <c:tx>
            <c:strRef>
              <c:f>'IG hedging'!$AK$84:$AK$85</c:f>
              <c:strCache>
                <c:ptCount val="2"/>
                <c:pt idx="0">
                  <c:v>Gamma LP</c:v>
                </c:pt>
                <c:pt idx="1">
                  <c:v>Vol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hedging'!$AI$86:$AI$122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hedging'!$AK$86:$AK$122</c:f>
              <c:numCache>
                <c:formatCode>#,##0.0000_);[Red]\(#,##0.0000\)</c:formatCode>
                <c:ptCount val="37"/>
                <c:pt idx="0">
                  <c:v>-2.4932782832942344</c:v>
                </c:pt>
                <c:pt idx="1">
                  <c:v>-0.72150250012690853</c:v>
                </c:pt>
                <c:pt idx="2">
                  <c:v>-0.36940928006497725</c:v>
                </c:pt>
                <c:pt idx="3">
                  <c:v>-0.23291606202079568</c:v>
                </c:pt>
                <c:pt idx="4">
                  <c:v>-0.16376275313228417</c:v>
                </c:pt>
                <c:pt idx="5">
                  <c:v>-0.12314387027611989</c:v>
                </c:pt>
                <c:pt idx="6">
                  <c:v>-9.6922154995444737E-2</c:v>
                </c:pt>
                <c:pt idx="7">
                  <c:v>-7.8844382158443221E-2</c:v>
                </c:pt>
                <c:pt idx="8">
                  <c:v>-2.5452611739497939E-2</c:v>
                </c:pt>
                <c:pt idx="9">
                  <c:v>-1.3456921309090899E-2</c:v>
                </c:pt>
                <c:pt idx="10">
                  <c:v>-8.6159598848974429E-3</c:v>
                </c:pt>
                <c:pt idx="11">
                  <c:v>-6.1126104570165896E-3</c:v>
                </c:pt>
                <c:pt idx="12">
                  <c:v>-4.6237242998816153E-3</c:v>
                </c:pt>
                <c:pt idx="13">
                  <c:v>-3.654417824692043E-3</c:v>
                </c:pt>
                <c:pt idx="14">
                  <c:v>-2.9820725955509012E-3</c:v>
                </c:pt>
                <c:pt idx="15">
                  <c:v>-2.493278283294236E-3</c:v>
                </c:pt>
                <c:pt idx="16">
                  <c:v>-1.8967010526361231E-3</c:v>
                </c:pt>
                <c:pt idx="17">
                  <c:v>-1.5051462495345245E-3</c:v>
                </c:pt>
                <c:pt idx="18">
                  <c:v>-1.2319434712256758E-3</c:v>
                </c:pt>
                <c:pt idx="19">
                  <c:v>-1.0324332830129413E-3</c:v>
                </c:pt>
                <c:pt idx="20">
                  <c:v>-8.8150699075125469E-4</c:v>
                </c:pt>
                <c:pt idx="21">
                  <c:v>-7.6407630712707348E-4</c:v>
                </c:pt>
                <c:pt idx="22">
                  <c:v>-6.7058508810133191E-4</c:v>
                </c:pt>
                <c:pt idx="23">
                  <c:v>-5.9471751947199562E-4</c:v>
                </c:pt>
                <c:pt idx="24">
                  <c:v>-5.3214955986168131E-4</c:v>
                </c:pt>
                <c:pt idx="25">
                  <c:v>-4.7983162934152508E-4</c:v>
                </c:pt>
                <c:pt idx="26">
                  <c:v>-4.355577912710844E-4</c:v>
                </c:pt>
                <c:pt idx="27">
                  <c:v>-3.9769705842965567E-4</c:v>
                </c:pt>
                <c:pt idx="28">
                  <c:v>-3.650202877705714E-4</c:v>
                </c:pt>
                <c:pt idx="29">
                  <c:v>-3.3658546636630498E-4</c:v>
                </c:pt>
                <c:pt idx="30">
                  <c:v>-3.1165978541177944E-4</c:v>
                </c:pt>
                <c:pt idx="31">
                  <c:v>-2.8966553077950443E-4</c:v>
                </c:pt>
                <c:pt idx="32">
                  <c:v>-2.7014176905676407E-4</c:v>
                </c:pt>
                <c:pt idx="33">
                  <c:v>-2.5271673776663343E-4</c:v>
                </c:pt>
                <c:pt idx="34">
                  <c:v>-2.3708763157951528E-4</c:v>
                </c:pt>
                <c:pt idx="35">
                  <c:v>-2.2300558913079547E-4</c:v>
                </c:pt>
                <c:pt idx="36">
                  <c:v>-2.1026439545454516E-4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1C-A04B-BDEE-8CD35AFDF6F6}"/>
            </c:ext>
          </c:extLst>
        </c:ser>
        <c:ser>
          <c:idx val="2"/>
          <c:order val="2"/>
          <c:tx>
            <c:strRef>
              <c:f>'IG hedging'!$AL$84:$AL$85</c:f>
              <c:strCache>
                <c:ptCount val="2"/>
                <c:pt idx="0">
                  <c:v>Gamma LP</c:v>
                </c:pt>
                <c:pt idx="1">
                  <c:v>Vol 150%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'IG hedging'!$AI$86:$AI$122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hedging'!$AL$86:$AL$122</c:f>
              <c:numCache>
                <c:formatCode>#,##0.0000_);[Red]\(#,##0.0000\)</c:formatCode>
                <c:ptCount val="37"/>
                <c:pt idx="0">
                  <c:v>-2.4857977060060459</c:v>
                </c:pt>
                <c:pt idx="1">
                  <c:v>-0.7193377777804365</c:v>
                </c:pt>
                <c:pt idx="2">
                  <c:v>-0.36830094222358362</c:v>
                </c:pt>
                <c:pt idx="3">
                  <c:v>-0.23221724447793202</c:v>
                </c:pt>
                <c:pt idx="4">
                  <c:v>-0.16327141610827819</c:v>
                </c:pt>
                <c:pt idx="5">
                  <c:v>-0.12277440199600877</c:v>
                </c:pt>
                <c:pt idx="6">
                  <c:v>-9.663135966937178E-2</c:v>
                </c:pt>
                <c:pt idx="7">
                  <c:v>-7.860782553400722E-2</c:v>
                </c:pt>
                <c:pt idx="8">
                  <c:v>-2.5376246325103845E-2</c:v>
                </c:pt>
                <c:pt idx="9">
                  <c:v>-1.3416546538016119E-2</c:v>
                </c:pt>
                <c:pt idx="10">
                  <c:v>-8.5901094396171242E-3</c:v>
                </c:pt>
                <c:pt idx="11">
                  <c:v>-6.0942708054571634E-3</c:v>
                </c:pt>
                <c:pt idx="12">
                  <c:v>-4.6098517501480816E-3</c:v>
                </c:pt>
                <c:pt idx="13">
                  <c:v>-3.6434534830202332E-3</c:v>
                </c:pt>
                <c:pt idx="14">
                  <c:v>-2.9731254897747529E-3</c:v>
                </c:pt>
                <c:pt idx="15">
                  <c:v>-2.4857977060060476E-3</c:v>
                </c:pt>
                <c:pt idx="16">
                  <c:v>-1.8910103846862597E-3</c:v>
                </c:pt>
                <c:pt idx="17">
                  <c:v>-1.5006303625895688E-3</c:v>
                </c:pt>
                <c:pt idx="18">
                  <c:v>-1.2282472739688632E-3</c:v>
                </c:pt>
                <c:pt idx="19">
                  <c:v>-1.0293356757301024E-3</c:v>
                </c:pt>
                <c:pt idx="20">
                  <c:v>-8.7886220728742063E-4</c:v>
                </c:pt>
                <c:pt idx="21">
                  <c:v>-7.617838506821452E-4</c:v>
                </c:pt>
                <c:pt idx="22">
                  <c:v>-6.6857313315291729E-4</c:v>
                </c:pt>
                <c:pt idx="23">
                  <c:v>-5.9293318982100616E-4</c:v>
                </c:pt>
                <c:pt idx="24">
                  <c:v>-5.3055295272075634E-4</c:v>
                </c:pt>
                <c:pt idx="25">
                  <c:v>-4.7839199157118198E-4</c:v>
                </c:pt>
                <c:pt idx="26">
                  <c:v>-4.3425098819863676E-4</c:v>
                </c:pt>
                <c:pt idx="27">
                  <c:v>-3.965038488297479E-4</c:v>
                </c:pt>
                <c:pt idx="28">
                  <c:v>-3.6392511821299725E-4</c:v>
                </c:pt>
                <c:pt idx="29">
                  <c:v>-3.355756097401496E-4</c:v>
                </c:pt>
                <c:pt idx="30">
                  <c:v>-3.1072471325075589E-4</c:v>
                </c:pt>
                <c:pt idx="31">
                  <c:v>-2.8879644793173778E-4</c:v>
                </c:pt>
                <c:pt idx="32">
                  <c:v>-2.6933126330787229E-4</c:v>
                </c:pt>
                <c:pt idx="33">
                  <c:v>-2.5195851230036726E-4</c:v>
                </c:pt>
                <c:pt idx="34">
                  <c:v>-2.3637629808578235E-4</c:v>
                </c:pt>
                <c:pt idx="35">
                  <c:v>-2.2233650595770228E-4</c:v>
                </c:pt>
                <c:pt idx="36">
                  <c:v>-2.0963353965650173E-4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1C-A04B-BDEE-8CD35AFDF6F6}"/>
            </c:ext>
          </c:extLst>
        </c:ser>
        <c:ser>
          <c:idx val="3"/>
          <c:order val="3"/>
          <c:tx>
            <c:strRef>
              <c:f>'IG hedging'!$AM$84:$AM$85</c:f>
              <c:strCache>
                <c:ptCount val="2"/>
                <c:pt idx="0">
                  <c:v>Gamma LP</c:v>
                </c:pt>
                <c:pt idx="1">
                  <c:v>Vol 200%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'IG hedging'!$AI$86:$AI$122</c:f>
              <c:numCache>
                <c:formatCode>0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hedging'!$AM$86:$AM$122</c:f>
              <c:numCache>
                <c:formatCode>#,##0.0000_);[Red]\(#,##0.0000\)</c:formatCode>
                <c:ptCount val="37"/>
                <c:pt idx="0">
                  <c:v>-2.4753625885637427</c:v>
                </c:pt>
                <c:pt idx="1">
                  <c:v>-0.71631807341202081</c:v>
                </c:pt>
                <c:pt idx="2">
                  <c:v>-0.3667548535869547</c:v>
                </c:pt>
                <c:pt idx="3">
                  <c:v>-0.23124242089820127</c:v>
                </c:pt>
                <c:pt idx="4">
                  <c:v>-0.16258601986789042</c:v>
                </c:pt>
                <c:pt idx="5">
                  <c:v>-0.12225900796348495</c:v>
                </c:pt>
                <c:pt idx="6">
                  <c:v>-9.6225711380163448E-2</c:v>
                </c:pt>
                <c:pt idx="7">
                  <c:v>-7.8277838146316919E-2</c:v>
                </c:pt>
                <c:pt idx="8">
                  <c:v>-2.5269719510790888E-2</c:v>
                </c:pt>
                <c:pt idx="9">
                  <c:v>-1.3360225286107301E-2</c:v>
                </c:pt>
                <c:pt idx="10">
                  <c:v>-8.5540490632526021E-3</c:v>
                </c:pt>
                <c:pt idx="11">
                  <c:v>-6.0686876972957495E-3</c:v>
                </c:pt>
                <c:pt idx="12">
                  <c:v>-4.5905000771265091E-3</c:v>
                </c:pt>
                <c:pt idx="13">
                  <c:v>-3.6281586483283257E-3</c:v>
                </c:pt>
                <c:pt idx="14">
                  <c:v>-2.9606446215280956E-3</c:v>
                </c:pt>
                <c:pt idx="15">
                  <c:v>-2.4753625885637442E-3</c:v>
                </c:pt>
                <c:pt idx="16">
                  <c:v>-1.8830721218899191E-3</c:v>
                </c:pt>
                <c:pt idx="17">
                  <c:v>-1.49433087408603E-3</c:v>
                </c:pt>
                <c:pt idx="18">
                  <c:v>-1.2230912210362023E-3</c:v>
                </c:pt>
                <c:pt idx="19">
                  <c:v>-1.0250146327756239E-3</c:v>
                </c:pt>
                <c:pt idx="20">
                  <c:v>-8.7517283613445531E-4</c:v>
                </c:pt>
                <c:pt idx="21">
                  <c:v>-7.5858596216196847E-4</c:v>
                </c:pt>
                <c:pt idx="22">
                  <c:v>-6.6576653342585062E-4</c:v>
                </c:pt>
                <c:pt idx="23">
                  <c:v>-5.9044411862415366E-4</c:v>
                </c:pt>
                <c:pt idx="24">
                  <c:v>-5.2832574720132681E-4</c:v>
                </c:pt>
                <c:pt idx="25">
                  <c:v>-4.7638375228306888E-4</c:v>
                </c:pt>
                <c:pt idx="26">
                  <c:v>-4.3242804820221609E-4</c:v>
                </c:pt>
                <c:pt idx="27">
                  <c:v>-3.9483936735610795E-4</c:v>
                </c:pt>
                <c:pt idx="28">
                  <c:v>-3.6239739882554218E-4</c:v>
                </c:pt>
                <c:pt idx="29">
                  <c:v>-3.3416689860892994E-4</c:v>
                </c:pt>
                <c:pt idx="30">
                  <c:v>-3.0942032357046797E-4</c:v>
                </c:pt>
                <c:pt idx="31">
                  <c:v>-2.875841108039794E-4</c:v>
                </c:pt>
                <c:pt idx="32">
                  <c:v>-2.6820063897882451E-4</c:v>
                </c:pt>
                <c:pt idx="33">
                  <c:v>-2.5090081695368241E-4</c:v>
                </c:pt>
                <c:pt idx="34">
                  <c:v>-2.3538401523623978E-4</c:v>
                </c:pt>
                <c:pt idx="35">
                  <c:v>-2.214031606795349E-4</c:v>
                </c:pt>
                <c:pt idx="36">
                  <c:v>-2.0875352009542644E-4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1C-A04B-BDEE-8CD35AFDF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_);[Red]\(#,##0.00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Premium Cost wrt vol (</a:t>
            </a:r>
            <a:r>
              <a:rPr lang="el-GR"/>
              <a:t>σ</a:t>
            </a:r>
            <a:r>
              <a:rPr lang="en-US"/>
              <a:t>)</a:t>
            </a:r>
            <a:r>
              <a:rPr lang="en-US" baseline="0"/>
              <a:t> ($10k position, 1 week)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'IG hedging'!$AM$47</c:f>
              <c:strCache>
                <c:ptCount val="1"/>
                <c:pt idx="0">
                  <c:v>Premium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hedging'!$AL$48:$AL$73</c:f>
              <c:numCache>
                <c:formatCode>0%</c:formatCode>
                <c:ptCount val="2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</c:numCache>
            </c:numRef>
          </c:cat>
          <c:val>
            <c:numRef>
              <c:f>'IG hedging'!$AM$48:$AM$73</c:f>
              <c:numCache>
                <c:formatCode>0.000</c:formatCode>
                <c:ptCount val="26"/>
                <c:pt idx="0">
                  <c:v>4.1593030131181763E-4</c:v>
                </c:pt>
                <c:pt idx="1">
                  <c:v>0.24072832558896806</c:v>
                </c:pt>
                <c:pt idx="2">
                  <c:v>0.96163085198108789</c:v>
                </c:pt>
                <c:pt idx="3">
                  <c:v>2.1630195393995688</c:v>
                </c:pt>
                <c:pt idx="4">
                  <c:v>3.8447211321512853</c:v>
                </c:pt>
                <c:pt idx="5">
                  <c:v>6.0064931305658931</c:v>
                </c:pt>
                <c:pt idx="6">
                  <c:v>8.6480238492792072</c:v>
                </c:pt>
                <c:pt idx="7">
                  <c:v>11.768932492126627</c:v>
                </c:pt>
                <c:pt idx="8">
                  <c:v>15.368769243636615</c:v>
                </c:pt>
                <c:pt idx="9">
                  <c:v>19.447015377077605</c:v>
                </c:pt>
                <c:pt idx="10">
                  <c:v>24.003083379039445</c:v>
                </c:pt>
                <c:pt idx="11">
                  <c:v>29.036317090489483</c:v>
                </c:pt>
                <c:pt idx="12">
                  <c:v>34.54599186426988</c:v>
                </c:pt>
                <c:pt idx="13">
                  <c:v>40.531314738974089</c:v>
                </c:pt>
                <c:pt idx="14">
                  <c:v>46.991424629156953</c:v>
                </c:pt>
                <c:pt idx="15">
                  <c:v>53.925392531792852</c:v>
                </c:pt>
                <c:pt idx="16">
                  <c:v>61.33222174893649</c:v>
                </c:pt>
                <c:pt idx="17">
                  <c:v>69.210848126490816</c:v>
                </c:pt>
                <c:pt idx="18">
                  <c:v>77.560140309020923</c:v>
                </c:pt>
                <c:pt idx="19">
                  <c:v>86.378900010516404</c:v>
                </c:pt>
                <c:pt idx="20">
                  <c:v>95.665862301006484</c:v>
                </c:pt>
                <c:pt idx="21">
                  <c:v>105.41969590895262</c:v>
                </c:pt>
                <c:pt idx="22">
                  <c:v>115.63900353929401</c:v>
                </c:pt>
                <c:pt idx="23">
                  <c:v>126.32232220705752</c:v>
                </c:pt>
                <c:pt idx="24">
                  <c:v>137.46812358640614</c:v>
                </c:pt>
                <c:pt idx="25">
                  <c:v>149.07481437502534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10-2B49-8743-DE991CABF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Effective</a:t>
            </a:r>
            <a:r>
              <a:rPr lang="en-US" baseline="0"/>
              <a:t> LP + IG Payoff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'IG hedging'!$M$128:$M$164</c:f>
              <c:numCache>
                <c:formatCode>#,##0_);[Red]\(#,##0\)</c:formatCode>
                <c:ptCount val="37"/>
                <c:pt idx="0">
                  <c:v>10</c:v>
                </c:pt>
                <c:pt idx="1">
                  <c:v>22.857142857142858</c:v>
                </c:pt>
                <c:pt idx="2">
                  <c:v>35.714285714285715</c:v>
                </c:pt>
                <c:pt idx="3">
                  <c:v>48.571428571428569</c:v>
                </c:pt>
                <c:pt idx="4">
                  <c:v>61.428571428571431</c:v>
                </c:pt>
                <c:pt idx="5">
                  <c:v>74.285714285714292</c:v>
                </c:pt>
                <c:pt idx="6">
                  <c:v>87.142857142857153</c:v>
                </c:pt>
                <c:pt idx="7">
                  <c:v>100</c:v>
                </c:pt>
                <c:pt idx="8">
                  <c:v>212.5</c:v>
                </c:pt>
                <c:pt idx="9">
                  <c:v>325</c:v>
                </c:pt>
                <c:pt idx="10">
                  <c:v>437.5</c:v>
                </c:pt>
                <c:pt idx="11">
                  <c:v>550</c:v>
                </c:pt>
                <c:pt idx="12">
                  <c:v>662.5</c:v>
                </c:pt>
                <c:pt idx="13">
                  <c:v>775</c:v>
                </c:pt>
                <c:pt idx="14">
                  <c:v>887.5</c:v>
                </c:pt>
                <c:pt idx="15">
                  <c:v>1000</c:v>
                </c:pt>
                <c:pt idx="16">
                  <c:v>1200</c:v>
                </c:pt>
                <c:pt idx="17">
                  <c:v>1400</c:v>
                </c:pt>
                <c:pt idx="18">
                  <c:v>1600</c:v>
                </c:pt>
                <c:pt idx="19">
                  <c:v>1800</c:v>
                </c:pt>
                <c:pt idx="20">
                  <c:v>2000</c:v>
                </c:pt>
                <c:pt idx="21">
                  <c:v>2200</c:v>
                </c:pt>
                <c:pt idx="22">
                  <c:v>2400</c:v>
                </c:pt>
                <c:pt idx="23">
                  <c:v>2600</c:v>
                </c:pt>
                <c:pt idx="24">
                  <c:v>2800</c:v>
                </c:pt>
                <c:pt idx="25">
                  <c:v>3000</c:v>
                </c:pt>
                <c:pt idx="26">
                  <c:v>3200</c:v>
                </c:pt>
                <c:pt idx="27">
                  <c:v>3400</c:v>
                </c:pt>
                <c:pt idx="28">
                  <c:v>3600</c:v>
                </c:pt>
                <c:pt idx="29">
                  <c:v>3800</c:v>
                </c:pt>
                <c:pt idx="30">
                  <c:v>4000</c:v>
                </c:pt>
                <c:pt idx="31">
                  <c:v>4200</c:v>
                </c:pt>
                <c:pt idx="32">
                  <c:v>4400</c:v>
                </c:pt>
                <c:pt idx="33">
                  <c:v>4600</c:v>
                </c:pt>
                <c:pt idx="34">
                  <c:v>4800</c:v>
                </c:pt>
                <c:pt idx="35">
                  <c:v>5000</c:v>
                </c:pt>
                <c:pt idx="36">
                  <c:v>5200</c:v>
                </c:pt>
              </c:numCache>
            </c:numRef>
          </c:cat>
          <c:val>
            <c:numRef>
              <c:f>'IG hedging'!$N$128:$N$164</c:f>
              <c:numCache>
                <c:formatCode>#,##0_);[Red]\(#,##0\)</c:formatCode>
                <c:ptCount val="37"/>
                <c:pt idx="0">
                  <c:v>5061.2295203136418</c:v>
                </c:pt>
                <c:pt idx="1">
                  <c:v>5125.9702904220658</c:v>
                </c:pt>
                <c:pt idx="2">
                  <c:v>5190.5920255778219</c:v>
                </c:pt>
                <c:pt idx="3">
                  <c:v>5255.1569570422043</c:v>
                </c:pt>
                <c:pt idx="4">
                  <c:v>5319.6867859972226</c:v>
                </c:pt>
                <c:pt idx="5">
                  <c:v>5384.1921450378795</c:v>
                </c:pt>
                <c:pt idx="6">
                  <c:v>5448.6791852618117</c:v>
                </c:pt>
                <c:pt idx="7">
                  <c:v>5513.1518449566374</c:v>
                </c:pt>
                <c:pt idx="8">
                  <c:v>6076.9387076620333</c:v>
                </c:pt>
                <c:pt idx="9">
                  <c:v>6640.4087300925221</c:v>
                </c:pt>
                <c:pt idx="10">
                  <c:v>7203.7208578819173</c:v>
                </c:pt>
                <c:pt idx="11">
                  <c:v>7766.933698224414</c:v>
                </c:pt>
                <c:pt idx="12">
                  <c:v>8330.076653526552</c:v>
                </c:pt>
                <c:pt idx="13">
                  <c:v>8893.1669662310942</c:v>
                </c:pt>
                <c:pt idx="14">
                  <c:v>9456.2157749257967</c:v>
                </c:pt>
                <c:pt idx="15">
                  <c:v>10019.23076923077</c:v>
                </c:pt>
                <c:pt idx="16">
                  <c:v>11020.079302700904</c:v>
                </c:pt>
                <c:pt idx="17">
                  <c:v>12020.859609757998</c:v>
                </c:pt>
                <c:pt idx="18">
                  <c:v>13021.585901857996</c:v>
                </c:pt>
                <c:pt idx="19">
                  <c:v>14022.268050311914</c:v>
                </c:pt>
                <c:pt idx="20">
                  <c:v>15022.913242361212</c:v>
                </c:pt>
                <c:pt idx="21">
                  <c:v>16023.526903792646</c:v>
                </c:pt>
                <c:pt idx="22">
                  <c:v>17024.113249902803</c:v>
                </c:pt>
                <c:pt idx="23">
                  <c:v>18024.675632895778</c:v>
                </c:pt>
                <c:pt idx="24">
                  <c:v>19025.216770725761</c:v>
                </c:pt>
                <c:pt idx="25">
                  <c:v>20025.73890337671</c:v>
                </c:pt>
                <c:pt idx="26">
                  <c:v>21026.243902863825</c:v>
                </c:pt>
                <c:pt idx="27">
                  <c:v>22026.733352679588</c:v>
                </c:pt>
                <c:pt idx="28">
                  <c:v>23027.208606458906</c:v>
                </c:pt>
                <c:pt idx="29">
                  <c:v>24027.670832144377</c:v>
                </c:pt>
                <c:pt idx="30">
                  <c:v>25028.121045805357</c:v>
                </c:pt>
                <c:pt idx="31">
                  <c:v>26028.560137927292</c:v>
                </c:pt>
                <c:pt idx="32">
                  <c:v>27028.988894124395</c:v>
                </c:pt>
                <c:pt idx="33">
                  <c:v>28029.408011656677</c:v>
                </c:pt>
                <c:pt idx="34">
                  <c:v>29029.81811274563</c:v>
                </c:pt>
                <c:pt idx="35">
                  <c:v>30030.219755415736</c:v>
                </c:pt>
                <c:pt idx="36">
                  <c:v>31030.613442401544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81-D84D-A2B4-CA46DE6AF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Premium Cost wrt Hedge</a:t>
            </a:r>
            <a:r>
              <a:rPr lang="en-US" baseline="0"/>
              <a:t> Length (weeks) $10k position. 50% Vol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'IG hedging'!$AP$47</c:f>
              <c:strCache>
                <c:ptCount val="1"/>
                <c:pt idx="0">
                  <c:v>Premium 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'IG hedging'!$AO$48:$AO$72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'IG hedging'!$AP$48:$AP$72</c:f>
              <c:numCache>
                <c:formatCode>0.000</c:formatCode>
                <c:ptCount val="25"/>
                <c:pt idx="0">
                  <c:v>6.0064931305658931</c:v>
                </c:pt>
                <c:pt idx="1">
                  <c:v>12.00674580076555</c:v>
                </c:pt>
                <c:pt idx="2">
                  <c:v>18.000764077921172</c:v>
                </c:pt>
                <c:pt idx="3">
                  <c:v>23.988554023665067</c:v>
                </c:pt>
                <c:pt idx="4">
                  <c:v>29.970121693938534</c:v>
                </c:pt>
                <c:pt idx="5">
                  <c:v>35.945473138999652</c:v>
                </c:pt>
                <c:pt idx="6">
                  <c:v>41.914614403428807</c:v>
                </c:pt>
                <c:pt idx="7">
                  <c:v>47.877551526136486</c:v>
                </c:pt>
                <c:pt idx="8">
                  <c:v>53.834290540361039</c:v>
                </c:pt>
                <c:pt idx="9">
                  <c:v>59.784837473684235</c:v>
                </c:pt>
                <c:pt idx="10">
                  <c:v>65.729198348024596</c:v>
                </c:pt>
                <c:pt idx="11">
                  <c:v>71.66737917965294</c:v>
                </c:pt>
                <c:pt idx="12">
                  <c:v>77.599385979192363</c:v>
                </c:pt>
                <c:pt idx="13">
                  <c:v>83.525224751623824</c:v>
                </c:pt>
                <c:pt idx="14">
                  <c:v>89.444901496293909</c:v>
                </c:pt>
                <c:pt idx="15">
                  <c:v>95.358422206917041</c:v>
                </c:pt>
                <c:pt idx="16">
                  <c:v>101.26579287157989</c:v>
                </c:pt>
                <c:pt idx="17">
                  <c:v>107.16701947275142</c:v>
                </c:pt>
                <c:pt idx="18">
                  <c:v>113.06210798728512</c:v>
                </c:pt>
                <c:pt idx="19">
                  <c:v>118.95106438642</c:v>
                </c:pt>
                <c:pt idx="20">
                  <c:v>124.83389463579408</c:v>
                </c:pt>
                <c:pt idx="21">
                  <c:v>130.71060469544315</c:v>
                </c:pt>
                <c:pt idx="22">
                  <c:v>136.5812005198097</c:v>
                </c:pt>
                <c:pt idx="23">
                  <c:v>142.44568805774404</c:v>
                </c:pt>
                <c:pt idx="24">
                  <c:v>148.30407325251537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34-4D4E-A844-E9B778EFB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036400"/>
        <c:axId val="725038128"/>
      </c:lineChart>
      <c:catAx>
        <c:axId val="72503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8128"/>
        <c:crosses val="autoZero"/>
        <c:auto val="1"/>
        <c:lblAlgn val="ctr"/>
        <c:lblOffset val="100"/>
        <c:noMultiLvlLbl val="0"/>
      </c:catAx>
      <c:valAx>
        <c:axId val="7250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7250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736600</xdr:colOff>
      <xdr:row>42</xdr:row>
      <xdr:rowOff>101600</xdr:rowOff>
    </xdr:from>
    <xdr:to>
      <xdr:col>19</xdr:col>
      <xdr:colOff>50800</xdr:colOff>
      <xdr:row>69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D488EA-548D-D64F-8C79-C2003CD6A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711200</xdr:colOff>
      <xdr:row>69</xdr:row>
      <xdr:rowOff>177800</xdr:rowOff>
    </xdr:from>
    <xdr:to>
      <xdr:col>19</xdr:col>
      <xdr:colOff>50800</xdr:colOff>
      <xdr:row>97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5EB3F4-D46F-3943-85A8-0EB2A0071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69</xdr:row>
      <xdr:rowOff>152400</xdr:rowOff>
    </xdr:from>
    <xdr:to>
      <xdr:col>6</xdr:col>
      <xdr:colOff>723900</xdr:colOff>
      <xdr:row>97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C94B76-6F3A-7A41-ADFA-F7CA6F4D70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42</xdr:row>
      <xdr:rowOff>76200</xdr:rowOff>
    </xdr:from>
    <xdr:to>
      <xdr:col>6</xdr:col>
      <xdr:colOff>673100</xdr:colOff>
      <xdr:row>69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2F1B99-EC78-AB42-B1B6-E641F0BE1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96</xdr:row>
      <xdr:rowOff>203200</xdr:rowOff>
    </xdr:from>
    <xdr:to>
      <xdr:col>6</xdr:col>
      <xdr:colOff>660400</xdr:colOff>
      <xdr:row>122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CCDF26C-64D7-8248-9784-07E0AC20C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292100</xdr:colOff>
      <xdr:row>69</xdr:row>
      <xdr:rowOff>152400</xdr:rowOff>
    </xdr:from>
    <xdr:to>
      <xdr:col>33</xdr:col>
      <xdr:colOff>381000</xdr:colOff>
      <xdr:row>95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2B7DDDE-9A41-784E-A246-E9467B99D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330200</xdr:colOff>
      <xdr:row>42</xdr:row>
      <xdr:rowOff>114300</xdr:rowOff>
    </xdr:from>
    <xdr:to>
      <xdr:col>33</xdr:col>
      <xdr:colOff>317500</xdr:colOff>
      <xdr:row>69</xdr:row>
      <xdr:rowOff>190500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7161564-7D01-6144-9330-75CF8EAB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711200</xdr:colOff>
      <xdr:row>96</xdr:row>
      <xdr:rowOff>203200</xdr:rowOff>
    </xdr:from>
    <xdr:to>
      <xdr:col>13</xdr:col>
      <xdr:colOff>673100</xdr:colOff>
      <xdr:row>119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2B38124-35C6-7A44-9D1E-13E72C0D0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63500</xdr:colOff>
      <xdr:row>69</xdr:row>
      <xdr:rowOff>177800</xdr:rowOff>
    </xdr:from>
    <xdr:to>
      <xdr:col>28</xdr:col>
      <xdr:colOff>393700</xdr:colOff>
      <xdr:row>97</xdr:row>
      <xdr:rowOff>114300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B0BC5EA-1833-544C-A312-80D1334A9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25400</xdr:colOff>
      <xdr:row>42</xdr:row>
      <xdr:rowOff>101600</xdr:rowOff>
    </xdr:from>
    <xdr:to>
      <xdr:col>28</xdr:col>
      <xdr:colOff>317500</xdr:colOff>
      <xdr:row>69</xdr:row>
      <xdr:rowOff>177800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1240C7C-C30C-2F48-90C4-90D4291D7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673100</xdr:colOff>
      <xdr:row>69</xdr:row>
      <xdr:rowOff>152400</xdr:rowOff>
    </xdr:from>
    <xdr:to>
      <xdr:col>13</xdr:col>
      <xdr:colOff>723900</xdr:colOff>
      <xdr:row>97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34F93BF-1533-7E49-88AB-18255CAEE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673100</xdr:colOff>
      <xdr:row>42</xdr:row>
      <xdr:rowOff>88900</xdr:rowOff>
    </xdr:from>
    <xdr:to>
      <xdr:col>13</xdr:col>
      <xdr:colOff>749300</xdr:colOff>
      <xdr:row>69</xdr:row>
      <xdr:rowOff>165100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21C8F3A-C81A-F342-A42A-5776F4D30F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977900</xdr:colOff>
      <xdr:row>97</xdr:row>
      <xdr:rowOff>63500</xdr:rowOff>
    </xdr:from>
    <xdr:to>
      <xdr:col>27</xdr:col>
      <xdr:colOff>863600</xdr:colOff>
      <xdr:row>119</xdr:row>
      <xdr:rowOff>63500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755EDB3-3BA1-4A4F-BC66-B9FFB382E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762000</xdr:colOff>
      <xdr:row>97</xdr:row>
      <xdr:rowOff>63500</xdr:rowOff>
    </xdr:from>
    <xdr:to>
      <xdr:col>18</xdr:col>
      <xdr:colOff>965200</xdr:colOff>
      <xdr:row>119</xdr:row>
      <xdr:rowOff>63500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F9EECF3-30EA-D945-A742-E55E5A494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927100</xdr:colOff>
      <xdr:row>97</xdr:row>
      <xdr:rowOff>101600</xdr:rowOff>
    </xdr:from>
    <xdr:to>
      <xdr:col>33</xdr:col>
      <xdr:colOff>0</xdr:colOff>
      <xdr:row>119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6EED057-A8ED-5147-9B8B-D61E589FE8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14</xdr:col>
      <xdr:colOff>393700</xdr:colOff>
      <xdr:row>6</xdr:row>
      <xdr:rowOff>50800</xdr:rowOff>
    </xdr:from>
    <xdr:to>
      <xdr:col>18</xdr:col>
      <xdr:colOff>469900</xdr:colOff>
      <xdr:row>28</xdr:row>
      <xdr:rowOff>150426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AC288F7C-7B9B-DC01-8B10-F52A0E306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2527300"/>
          <a:ext cx="4775200" cy="48494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harlesbelford/Documents/Instrument_Bitcoin/Strategy-DeFi-IL-Hedging-OrBitMarkets/OrBit-Markets-Uniswapv2v3-ILhedging.xlsm" TargetMode="External"/><Relationship Id="rId1" Type="http://schemas.openxmlformats.org/officeDocument/2006/relationships/externalLinkPath" Target="/Users/charlesbelford/Documents/Instrument_Bitcoin/Strategy-DeFi-IL-Hedging-OrBitMarkets/OrBit-Markets-Uniswapv2v3-ILhedg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AppData/Roaming/Microsoft/Excel/2_gb_BitMEX_various_strategies%20(version%201)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/RCD/Agus/MarketRisk/SwapsDailySummar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/RCD/Agus/MarketRisk/FIDailySummaryLondonBTSPV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Program%20Files/Gissing/RealtimeXL_01/MGSTIBG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cen Analysis"/>
      <sheetName val="Limited IL"/>
      <sheetName val="IG hedging"/>
      <sheetName val="UniV2-UniV3_0.3%Yld-USDCETH"/>
      <sheetName val="UniV2-UniV3_0.3%Yld syncd"/>
      <sheetName val="pETH-ETH LP exploit"/>
      <sheetName val="Options Color"/>
      <sheetName val="Laser Digital"/>
    </sheetNames>
    <sheetDataSet>
      <sheetData sheetId="0"/>
      <sheetData sheetId="1"/>
      <sheetData sheetId="2">
        <row r="44">
          <cell r="B44" t="str">
            <v>Delta IG</v>
          </cell>
          <cell r="H44" t="str">
            <v>Delta LP</v>
          </cell>
          <cell r="N44" t="str">
            <v>Vega IG</v>
          </cell>
          <cell r="T44" t="str">
            <v>Vega LP</v>
          </cell>
        </row>
        <row r="45">
          <cell r="B45" t="str">
            <v>Vol 50%</v>
          </cell>
          <cell r="C45" t="str">
            <v>Vol 100%</v>
          </cell>
          <cell r="D45" t="str">
            <v>Vol 150%</v>
          </cell>
          <cell r="E45" t="str">
            <v>Vol 200%</v>
          </cell>
          <cell r="H45" t="str">
            <v>Vol 50%</v>
          </cell>
          <cell r="I45" t="str">
            <v>Vol 100%</v>
          </cell>
          <cell r="J45" t="str">
            <v>Vol 150%</v>
          </cell>
          <cell r="K45" t="str">
            <v>Vol 200%</v>
          </cell>
          <cell r="N45" t="str">
            <v>Vol 50%</v>
          </cell>
          <cell r="O45" t="str">
            <v>Vol 100%</v>
          </cell>
          <cell r="P45" t="str">
            <v>Vol 150%</v>
          </cell>
          <cell r="Q45" t="str">
            <v>Vol 200%</v>
          </cell>
          <cell r="T45" t="str">
            <v>Vol 50%</v>
          </cell>
          <cell r="U45" t="str">
            <v>Vol 100%</v>
          </cell>
          <cell r="Z45" t="str">
            <v>Vol 150%</v>
          </cell>
          <cell r="AA45" t="str">
            <v>Vol 200%</v>
          </cell>
        </row>
        <row r="46">
          <cell r="A46">
            <v>10</v>
          </cell>
          <cell r="B46">
            <v>-44.955548617127072</v>
          </cell>
          <cell r="C46">
            <v>-44.865565665884695</v>
          </cell>
          <cell r="D46">
            <v>-44.715954120120927</v>
          </cell>
          <cell r="E46">
            <v>-44.507251771274873</v>
          </cell>
          <cell r="G46">
            <v>10</v>
          </cell>
          <cell r="H46">
            <v>49.955548617127072</v>
          </cell>
          <cell r="I46">
            <v>49.865565665884702</v>
          </cell>
          <cell r="J46">
            <v>49.715954120120934</v>
          </cell>
          <cell r="K46">
            <v>49.507251771274866</v>
          </cell>
          <cell r="M46">
            <v>10</v>
          </cell>
          <cell r="N46">
            <v>2.4017090681311096E-2</v>
          </cell>
          <cell r="O46">
            <v>4.794765929411992E-2</v>
          </cell>
          <cell r="P46">
            <v>7.1705703057866735E-2</v>
          </cell>
          <cell r="Q46">
            <v>9.5206253406297833E-2</v>
          </cell>
          <cell r="S46">
            <v>10</v>
          </cell>
          <cell r="T46">
            <v>-2.4017090681311096E-2</v>
          </cell>
          <cell r="U46">
            <v>-4.794765929411992E-2</v>
          </cell>
          <cell r="Z46">
            <v>-7.1705703057866735E-2</v>
          </cell>
          <cell r="AA46">
            <v>-9.5206253406297833E-2</v>
          </cell>
        </row>
        <row r="47">
          <cell r="A47">
            <v>22.857142857142858</v>
          </cell>
          <cell r="B47">
            <v>-28.042489562178716</v>
          </cell>
          <cell r="C47">
            <v>-27.982971434372974</v>
          </cell>
          <cell r="D47">
            <v>-27.884012698534253</v>
          </cell>
          <cell r="E47">
            <v>-27.745969070263818</v>
          </cell>
          <cell r="G47">
            <v>22.857142857142858</v>
          </cell>
          <cell r="H47">
            <v>33.042489562178716</v>
          </cell>
          <cell r="I47">
            <v>32.982971434372978</v>
          </cell>
          <cell r="J47">
            <v>32.884012698534256</v>
          </cell>
          <cell r="K47">
            <v>32.745969070263818</v>
          </cell>
          <cell r="M47">
            <v>22.857142857142858</v>
          </cell>
          <cell r="N47">
            <v>3.6310428090306275E-2</v>
          </cell>
          <cell r="O47">
            <v>7.2490047108512035E-2</v>
          </cell>
          <cell r="P47">
            <v>0.10840883307209094</v>
          </cell>
          <cell r="Q47">
            <v>0.14393832558357722</v>
          </cell>
          <cell r="S47">
            <v>22.857142857142858</v>
          </cell>
          <cell r="T47">
            <v>-3.6310428090306275E-2</v>
          </cell>
          <cell r="U47">
            <v>-7.2490047108512035E-2</v>
          </cell>
          <cell r="Z47">
            <v>-0.10840883307209094</v>
          </cell>
          <cell r="AA47">
            <v>-0.14393832558357722</v>
          </cell>
          <cell r="AM47" t="str">
            <v>Premium cost</v>
          </cell>
          <cell r="AP47" t="str">
            <v>Premium cost</v>
          </cell>
        </row>
        <row r="48">
          <cell r="A48">
            <v>35.714285714285715</v>
          </cell>
          <cell r="B48">
            <v>-21.433991649742971</v>
          </cell>
          <cell r="C48">
            <v>-21.386377147498379</v>
          </cell>
          <cell r="D48">
            <v>-21.307210158827402</v>
          </cell>
          <cell r="E48">
            <v>-21.196775256211051</v>
          </cell>
          <cell r="G48">
            <v>35.714285714285715</v>
          </cell>
          <cell r="H48">
            <v>26.433991649742968</v>
          </cell>
          <cell r="I48">
            <v>26.386377147498376</v>
          </cell>
          <cell r="J48">
            <v>26.307210158827399</v>
          </cell>
          <cell r="K48">
            <v>26.196775256211051</v>
          </cell>
          <cell r="M48">
            <v>35.714285714285715</v>
          </cell>
          <cell r="N48">
            <v>4.5388035112882849E-2</v>
          </cell>
          <cell r="O48">
            <v>9.0612558885640043E-2</v>
          </cell>
          <cell r="P48">
            <v>0.13551104134011366</v>
          </cell>
          <cell r="Q48">
            <v>0.17992290697947153</v>
          </cell>
          <cell r="S48">
            <v>35.714285714285715</v>
          </cell>
          <cell r="T48">
            <v>-4.5388035112882849E-2</v>
          </cell>
          <cell r="U48">
            <v>-9.0612558885640043E-2</v>
          </cell>
          <cell r="Z48">
            <v>-0.13551104134011366</v>
          </cell>
          <cell r="AA48">
            <v>-0.17992290697947153</v>
          </cell>
          <cell r="AL48">
            <v>0</v>
          </cell>
          <cell r="AM48">
            <v>4.1593030131181763E-4</v>
          </cell>
          <cell r="AO48">
            <v>1</v>
          </cell>
          <cell r="AP48">
            <v>6.0064931305658931</v>
          </cell>
        </row>
        <row r="49">
          <cell r="A49">
            <v>48.571428571428569</v>
          </cell>
          <cell r="B49">
            <v>-17.666960837999056</v>
          </cell>
          <cell r="C49">
            <v>-17.626131739163</v>
          </cell>
          <cell r="D49">
            <v>-17.558246606427669</v>
          </cell>
          <cell r="E49">
            <v>-17.463549458682394</v>
          </cell>
          <cell r="G49">
            <v>48.571428571428569</v>
          </cell>
          <cell r="H49">
            <v>22.66696083799906</v>
          </cell>
          <cell r="I49">
            <v>22.626131739163</v>
          </cell>
          <cell r="J49">
            <v>22.558246606427673</v>
          </cell>
          <cell r="K49">
            <v>22.463549458682397</v>
          </cell>
          <cell r="M49">
            <v>48.571428571428569</v>
          </cell>
          <cell r="N49">
            <v>5.2931089868953854E-2</v>
          </cell>
          <cell r="O49">
            <v>0.10567149438620083</v>
          </cell>
          <cell r="P49">
            <v>0.15803167265491913</v>
          </cell>
          <cell r="Q49">
            <v>0.20982436307560484</v>
          </cell>
          <cell r="S49">
            <v>48.571428571428569</v>
          </cell>
          <cell r="T49">
            <v>-5.2931089868953854E-2</v>
          </cell>
          <cell r="U49">
            <v>-0.10567149438620083</v>
          </cell>
          <cell r="Z49">
            <v>-0.15803167265491913</v>
          </cell>
          <cell r="AA49">
            <v>-0.20982436307560484</v>
          </cell>
          <cell r="AL49">
            <v>0.1</v>
          </cell>
          <cell r="AM49">
            <v>0.24072832558896806</v>
          </cell>
          <cell r="AO49">
            <v>2</v>
          </cell>
          <cell r="AP49">
            <v>12.00674580076555</v>
          </cell>
        </row>
        <row r="50">
          <cell r="A50">
            <v>61.428571428571431</v>
          </cell>
          <cell r="B50">
            <v>-15.155729673849063</v>
          </cell>
          <cell r="C50">
            <v>-15.119423956252067</v>
          </cell>
          <cell r="D50">
            <v>-15.059059693302762</v>
          </cell>
          <cell r="E50">
            <v>-14.974853869483693</v>
          </cell>
          <cell r="G50">
            <v>61.428571428571431</v>
          </cell>
          <cell r="H50">
            <v>20.155729673849063</v>
          </cell>
          <cell r="I50">
            <v>20.119423956252071</v>
          </cell>
          <cell r="J50">
            <v>20.059059693302764</v>
          </cell>
          <cell r="K50">
            <v>19.974853869483695</v>
          </cell>
          <cell r="M50">
            <v>61.428571428571431</v>
          </cell>
          <cell r="N50">
            <v>5.9525849998317976E-2</v>
          </cell>
          <cell r="O50">
            <v>0.1188372568844559</v>
          </cell>
          <cell r="P50">
            <v>0.1777210645903885</v>
          </cell>
          <cell r="Q50">
            <v>0.23596668032631837</v>
          </cell>
          <cell r="S50">
            <v>61.428571428571431</v>
          </cell>
          <cell r="T50">
            <v>-5.9525849998317976E-2</v>
          </cell>
          <cell r="U50">
            <v>-0.1188372568844559</v>
          </cell>
          <cell r="Z50">
            <v>-0.1777210645903885</v>
          </cell>
          <cell r="AA50">
            <v>-0.23596668032631837</v>
          </cell>
          <cell r="AL50">
            <v>0.2</v>
          </cell>
          <cell r="AM50">
            <v>0.96163085198108789</v>
          </cell>
          <cell r="AO50">
            <v>3</v>
          </cell>
          <cell r="AP50">
            <v>18.000764077921172</v>
          </cell>
        </row>
        <row r="51">
          <cell r="A51">
            <v>74.285714285714292</v>
          </cell>
          <cell r="B51">
            <v>-13.328675443910615</v>
          </cell>
          <cell r="C51">
            <v>-13.295660726737815</v>
          </cell>
          <cell r="D51">
            <v>-13.240768296549872</v>
          </cell>
          <cell r="E51">
            <v>-13.164195468860619</v>
          </cell>
          <cell r="G51">
            <v>74.285714285714292</v>
          </cell>
          <cell r="H51">
            <v>18.328675443910615</v>
          </cell>
          <cell r="I51">
            <v>18.295660726737815</v>
          </cell>
          <cell r="J51">
            <v>18.240768296549874</v>
          </cell>
          <cell r="K51">
            <v>18.164195468860623</v>
          </cell>
          <cell r="M51">
            <v>74.285714285714292</v>
          </cell>
          <cell r="N51">
            <v>6.5459555156823626E-2</v>
          </cell>
          <cell r="O51">
            <v>0.13068329090527009</v>
          </cell>
          <cell r="P51">
            <v>0.19543680317732004</v>
          </cell>
          <cell r="Q51">
            <v>0.25948850669800888</v>
          </cell>
          <cell r="S51">
            <v>74.285714285714292</v>
          </cell>
          <cell r="T51">
            <v>-6.5459555156823626E-2</v>
          </cell>
          <cell r="U51">
            <v>-0.13068329090527009</v>
          </cell>
          <cell r="Z51">
            <v>-0.19543680317732004</v>
          </cell>
          <cell r="AA51">
            <v>-0.25948850669800888</v>
          </cell>
          <cell r="AL51">
            <v>0.3</v>
          </cell>
          <cell r="AM51">
            <v>2.1630195393995688</v>
          </cell>
          <cell r="AO51">
            <v>4</v>
          </cell>
          <cell r="AP51">
            <v>23.988554023665067</v>
          </cell>
        </row>
        <row r="52">
          <cell r="A52">
            <v>87.142857142857153</v>
          </cell>
          <cell r="B52">
            <v>-11.922629075026576</v>
          </cell>
          <cell r="C52">
            <v>-11.892147013491799</v>
          </cell>
          <cell r="D52">
            <v>-11.841465542376225</v>
          </cell>
          <cell r="E52">
            <v>-11.770766840542771</v>
          </cell>
          <cell r="G52">
            <v>87.142857142857153</v>
          </cell>
          <cell r="H52">
            <v>16.922629075026578</v>
          </cell>
          <cell r="I52">
            <v>16.892147013491801</v>
          </cell>
          <cell r="J52">
            <v>16.841465542376227</v>
          </cell>
          <cell r="K52">
            <v>16.770766840542773</v>
          </cell>
          <cell r="M52">
            <v>87.142857142857153</v>
          </cell>
          <cell r="N52">
            <v>7.0898377306086627E-2</v>
          </cell>
          <cell r="O52">
            <v>0.14154134173392854</v>
          </cell>
          <cell r="P52">
            <v>0.21167501334167921</v>
          </cell>
          <cell r="Q52">
            <v>0.28104856518492016</v>
          </cell>
          <cell r="S52">
            <v>87.142857142857153</v>
          </cell>
          <cell r="T52">
            <v>-7.0898377306086627E-2</v>
          </cell>
          <cell r="U52">
            <v>-0.14154134173392854</v>
          </cell>
          <cell r="Z52">
            <v>-0.21167501334167921</v>
          </cell>
          <cell r="AA52">
            <v>-0.28104856518492016</v>
          </cell>
          <cell r="AL52">
            <v>0.4</v>
          </cell>
          <cell r="AM52">
            <v>3.8447211321512853</v>
          </cell>
          <cell r="AO52">
            <v>5</v>
          </cell>
          <cell r="AP52">
            <v>29.970121693938534</v>
          </cell>
        </row>
        <row r="53">
          <cell r="A53">
            <v>100</v>
          </cell>
          <cell r="B53">
            <v>-10.797331539339629</v>
          </cell>
          <cell r="C53">
            <v>-10.768876431688653</v>
          </cell>
          <cell r="D53">
            <v>-10.721565106801451</v>
          </cell>
          <cell r="E53">
            <v>-10.655567629263393</v>
          </cell>
          <cell r="G53">
            <v>100</v>
          </cell>
          <cell r="H53">
            <v>15.797331539339629</v>
          </cell>
          <cell r="I53">
            <v>15.768876431688653</v>
          </cell>
          <cell r="J53">
            <v>15.721565106801451</v>
          </cell>
          <cell r="K53">
            <v>15.655567629263393</v>
          </cell>
          <cell r="M53">
            <v>100</v>
          </cell>
          <cell r="N53">
            <v>7.5948709323748226E-2</v>
          </cell>
          <cell r="O53">
            <v>0.15162381184316018</v>
          </cell>
          <cell r="P53">
            <v>0.22675334288655943</v>
          </cell>
          <cell r="Q53">
            <v>0.30106860825506532</v>
          </cell>
          <cell r="S53">
            <v>100</v>
          </cell>
          <cell r="T53">
            <v>-7.5948709323748226E-2</v>
          </cell>
          <cell r="U53">
            <v>-0.15162381184316018</v>
          </cell>
          <cell r="Z53">
            <v>-0.22675334288655943</v>
          </cell>
          <cell r="AA53">
            <v>-0.30106860825506532</v>
          </cell>
          <cell r="AL53">
            <v>0.5</v>
          </cell>
          <cell r="AM53">
            <v>6.0064931305658931</v>
          </cell>
          <cell r="AO53">
            <v>6</v>
          </cell>
          <cell r="AP53">
            <v>35.945473138999652</v>
          </cell>
        </row>
        <row r="54">
          <cell r="A54">
            <v>212.5</v>
          </cell>
          <cell r="B54">
            <v>-5.836880032095511</v>
          </cell>
          <cell r="C54">
            <v>-5.8173599892866301</v>
          </cell>
          <cell r="D54">
            <v>-5.7849046881691395</v>
          </cell>
          <cell r="E54">
            <v>-5.7396307920861327</v>
          </cell>
          <cell r="G54">
            <v>212.5</v>
          </cell>
          <cell r="H54">
            <v>10.836880032095511</v>
          </cell>
          <cell r="I54">
            <v>10.817359989286631</v>
          </cell>
          <cell r="J54">
            <v>10.78490468816914</v>
          </cell>
          <cell r="K54">
            <v>10.739630792086134</v>
          </cell>
          <cell r="M54">
            <v>212.5</v>
          </cell>
          <cell r="N54">
            <v>0.11071331763559118</v>
          </cell>
          <cell r="O54">
            <v>0.22102778824263553</v>
          </cell>
          <cell r="P54">
            <v>0.3305469585917224</v>
          </cell>
          <cell r="Q54">
            <v>0.43887914294582764</v>
          </cell>
          <cell r="S54">
            <v>212.5</v>
          </cell>
          <cell r="T54">
            <v>-0.11071331763559118</v>
          </cell>
          <cell r="U54">
            <v>-0.22102778824263553</v>
          </cell>
          <cell r="Z54">
            <v>-0.3305469585917224</v>
          </cell>
          <cell r="AA54">
            <v>-0.43887914294582764</v>
          </cell>
          <cell r="AL54">
            <v>0.6</v>
          </cell>
          <cell r="AM54">
            <v>8.6480238492792072</v>
          </cell>
          <cell r="AO54">
            <v>7</v>
          </cell>
          <cell r="AP54">
            <v>41.914614403428807</v>
          </cell>
        </row>
        <row r="55">
          <cell r="A55">
            <v>325</v>
          </cell>
          <cell r="B55">
            <v>-3.7627829047066941</v>
          </cell>
          <cell r="C55">
            <v>-3.7469988509090868</v>
          </cell>
          <cell r="D55">
            <v>-3.7207552497104812</v>
          </cell>
          <cell r="E55">
            <v>-3.6841464359697493</v>
          </cell>
          <cell r="G55">
            <v>325</v>
          </cell>
          <cell r="H55">
            <v>8.7627829047066932</v>
          </cell>
          <cell r="I55">
            <v>8.7469988509090868</v>
          </cell>
          <cell r="J55">
            <v>8.7207552497104803</v>
          </cell>
          <cell r="K55">
            <v>8.6841464359697493</v>
          </cell>
          <cell r="M55">
            <v>325</v>
          </cell>
          <cell r="N55">
            <v>0.13691848288604211</v>
          </cell>
          <cell r="O55">
            <v>0.27334371409090902</v>
          </cell>
          <cell r="P55">
            <v>0.40878540233017879</v>
          </cell>
          <cell r="Q55">
            <v>0.54275915224810944</v>
          </cell>
          <cell r="S55">
            <v>325</v>
          </cell>
          <cell r="T55">
            <v>-0.13691848288604211</v>
          </cell>
          <cell r="U55">
            <v>-0.27334371409090902</v>
          </cell>
          <cell r="Z55">
            <v>-0.40878540233017879</v>
          </cell>
          <cell r="AA55">
            <v>-0.54275915224810944</v>
          </cell>
          <cell r="AL55">
            <v>0.7</v>
          </cell>
          <cell r="AM55">
            <v>11.768932492126627</v>
          </cell>
          <cell r="AO55">
            <v>8</v>
          </cell>
          <cell r="AP55">
            <v>47.877551526136486</v>
          </cell>
        </row>
        <row r="56">
          <cell r="A56">
            <v>437.5</v>
          </cell>
          <cell r="B56">
            <v>-2.5525690427837056</v>
          </cell>
          <cell r="C56">
            <v>-2.5389648992852503</v>
          </cell>
          <cell r="D56">
            <v>-2.5163457596649708</v>
          </cell>
          <cell r="E56">
            <v>-2.484792930346015</v>
          </cell>
          <cell r="G56">
            <v>437.5</v>
          </cell>
          <cell r="H56">
            <v>7.5525690427837064</v>
          </cell>
          <cell r="I56">
            <v>7.5389648992852516</v>
          </cell>
          <cell r="J56">
            <v>7.5163457596649721</v>
          </cell>
          <cell r="K56">
            <v>7.4847929303460159</v>
          </cell>
          <cell r="M56">
            <v>437.5</v>
          </cell>
          <cell r="N56">
            <v>0.15885812289508996</v>
          </cell>
          <cell r="O56">
            <v>0.31714395609974011</v>
          </cell>
          <cell r="P56">
            <v>0.47428864469039778</v>
          </cell>
          <cell r="Q56">
            <v>0.62973017442815038</v>
          </cell>
          <cell r="S56">
            <v>437.5</v>
          </cell>
          <cell r="T56">
            <v>-0.15885812289508996</v>
          </cell>
          <cell r="U56">
            <v>-0.31714395609974011</v>
          </cell>
          <cell r="Z56">
            <v>-0.47428864469039778</v>
          </cell>
          <cell r="AA56">
            <v>-0.62973017442815038</v>
          </cell>
          <cell r="AL56">
            <v>0.8</v>
          </cell>
          <cell r="AM56">
            <v>15.368769243636615</v>
          </cell>
          <cell r="AO56">
            <v>9</v>
          </cell>
          <cell r="AP56">
            <v>53.834290540361039</v>
          </cell>
        </row>
        <row r="57">
          <cell r="A57">
            <v>550</v>
          </cell>
          <cell r="B57">
            <v>-1.7360048013885749</v>
          </cell>
          <cell r="C57">
            <v>-1.723871502718247</v>
          </cell>
          <cell r="D57">
            <v>-1.703697886002878</v>
          </cell>
          <cell r="E57">
            <v>-1.6755564670253225</v>
          </cell>
          <cell r="G57">
            <v>550</v>
          </cell>
          <cell r="H57">
            <v>6.7360048013885745</v>
          </cell>
          <cell r="I57">
            <v>6.7238715027182465</v>
          </cell>
          <cell r="J57">
            <v>6.7036978860028773</v>
          </cell>
          <cell r="K57">
            <v>6.6755564670253218</v>
          </cell>
          <cell r="M57">
            <v>550</v>
          </cell>
          <cell r="N57">
            <v>0.17811551157517869</v>
          </cell>
          <cell r="O57">
            <v>0.35558935831683036</v>
          </cell>
          <cell r="P57">
            <v>0.53178372653388206</v>
          </cell>
          <cell r="Q57">
            <v>0.70606847247383231</v>
          </cell>
          <cell r="S57">
            <v>550</v>
          </cell>
          <cell r="T57">
            <v>-0.17811551157517869</v>
          </cell>
          <cell r="U57">
            <v>-0.35558935831683036</v>
          </cell>
          <cell r="Z57">
            <v>-0.53178372653388206</v>
          </cell>
          <cell r="AA57">
            <v>-0.70606847247383231</v>
          </cell>
          <cell r="AL57">
            <v>0.9</v>
          </cell>
          <cell r="AM57">
            <v>19.447015377077605</v>
          </cell>
          <cell r="AO57">
            <v>10</v>
          </cell>
          <cell r="AP57">
            <v>59.784837473684235</v>
          </cell>
        </row>
        <row r="58">
          <cell r="A58">
            <v>662.5</v>
          </cell>
          <cell r="B58">
            <v>-1.1374899148524404</v>
          </cell>
          <cell r="C58">
            <v>-1.1264346973431421</v>
          </cell>
          <cell r="D58">
            <v>-1.108053568946209</v>
          </cell>
          <cell r="E58">
            <v>-1.0824126021926261</v>
          </cell>
          <cell r="G58">
            <v>662.5</v>
          </cell>
          <cell r="H58">
            <v>6.1374899148524404</v>
          </cell>
          <cell r="I58">
            <v>6.1264346973431421</v>
          </cell>
          <cell r="J58">
            <v>6.1080535689462101</v>
          </cell>
          <cell r="K58">
            <v>6.082412602192627</v>
          </cell>
          <cell r="M58">
            <v>662.5</v>
          </cell>
          <cell r="N58">
            <v>0.19548495522066067</v>
          </cell>
          <cell r="O58">
            <v>0.39026567182594535</v>
          </cell>
          <cell r="P58">
            <v>0.58364213789810537</v>
          </cell>
          <cell r="Q58">
            <v>0.77492275941396438</v>
          </cell>
          <cell r="S58">
            <v>662.5</v>
          </cell>
          <cell r="T58">
            <v>-0.19548495522066067</v>
          </cell>
          <cell r="U58">
            <v>-0.39026567182594535</v>
          </cell>
          <cell r="Z58">
            <v>-0.58364213789810537</v>
          </cell>
          <cell r="AA58">
            <v>-0.77492275941396438</v>
          </cell>
          <cell r="AL58">
            <v>1</v>
          </cell>
          <cell r="AM58">
            <v>24.003083379039445</v>
          </cell>
          <cell r="AO58">
            <v>11</v>
          </cell>
          <cell r="AP58">
            <v>65.729198348024596</v>
          </cell>
        </row>
        <row r="59">
          <cell r="A59">
            <v>775</v>
          </cell>
          <cell r="B59">
            <v>-0.67456900468038272</v>
          </cell>
          <cell r="C59">
            <v>-0.66434762827266725</v>
          </cell>
          <cell r="D59">
            <v>-0.64735289868136126</v>
          </cell>
          <cell r="E59">
            <v>-0.62364590490890426</v>
          </cell>
          <cell r="G59">
            <v>775</v>
          </cell>
          <cell r="H59">
            <v>5.6745690046803832</v>
          </cell>
          <cell r="I59">
            <v>5.6643476282726679</v>
          </cell>
          <cell r="J59">
            <v>5.6473528986813619</v>
          </cell>
          <cell r="K59">
            <v>5.6236459049089049</v>
          </cell>
          <cell r="M59">
            <v>775</v>
          </cell>
          <cell r="N59">
            <v>0.21143225858785081</v>
          </cell>
          <cell r="O59">
            <v>0.42210282806839589</v>
          </cell>
          <cell r="P59">
            <v>0.63125459083818103</v>
          </cell>
          <cell r="Q59">
            <v>0.83813953390469254</v>
          </cell>
          <cell r="S59">
            <v>775</v>
          </cell>
          <cell r="T59">
            <v>-0.21143225858785081</v>
          </cell>
          <cell r="U59">
            <v>-0.42210282806839589</v>
          </cell>
          <cell r="Z59">
            <v>-0.63125459083818103</v>
          </cell>
          <cell r="AA59">
            <v>-0.83813953390469254</v>
          </cell>
          <cell r="AL59">
            <v>1.1000000000000001</v>
          </cell>
          <cell r="AM59">
            <v>29.036317090489483</v>
          </cell>
          <cell r="AO59">
            <v>12</v>
          </cell>
          <cell r="AP59">
            <v>71.66737917965294</v>
          </cell>
        </row>
        <row r="60">
          <cell r="A60">
            <v>887.5</v>
          </cell>
          <cell r="B60">
            <v>-0.30273045545846322</v>
          </cell>
          <cell r="C60">
            <v>-0.29317885710285335</v>
          </cell>
          <cell r="D60">
            <v>-0.27729774435018928</v>
          </cell>
          <cell r="E60">
            <v>-0.25514420321237263</v>
          </cell>
          <cell r="G60">
            <v>887.5</v>
          </cell>
          <cell r="H60">
            <v>5.3027304554584633</v>
          </cell>
          <cell r="I60">
            <v>5.2931788571028529</v>
          </cell>
          <cell r="J60">
            <v>5.2772977443501903</v>
          </cell>
          <cell r="K60">
            <v>5.2551442032123727</v>
          </cell>
          <cell r="M60">
            <v>887.5</v>
          </cell>
          <cell r="N60">
            <v>0.22625833073170123</v>
          </cell>
          <cell r="O60">
            <v>0.45170156112295984</v>
          </cell>
          <cell r="P60">
            <v>0.67551948290059516</v>
          </cell>
          <cell r="Q60">
            <v>0.89691163083672709</v>
          </cell>
          <cell r="S60">
            <v>887.5</v>
          </cell>
          <cell r="T60">
            <v>-0.22625833073170123</v>
          </cell>
          <cell r="U60">
            <v>-0.45170156112295984</v>
          </cell>
          <cell r="Z60">
            <v>-0.67551948290059516</v>
          </cell>
          <cell r="AA60">
            <v>-0.89691163083672709</v>
          </cell>
          <cell r="AL60">
            <v>1.2</v>
          </cell>
          <cell r="AM60">
            <v>34.54599186426988</v>
          </cell>
          <cell r="AO60">
            <v>13</v>
          </cell>
          <cell r="AP60">
            <v>77.599385979192363</v>
          </cell>
        </row>
        <row r="61">
          <cell r="A61">
            <v>1000</v>
          </cell>
          <cell r="B61">
            <v>4.4451382872929147E-3</v>
          </cell>
          <cell r="C61">
            <v>1.3443433411529458E-2</v>
          </cell>
          <cell r="D61">
            <v>2.8404587987906731E-2</v>
          </cell>
          <cell r="E61">
            <v>4.9274822872513162E-2</v>
          </cell>
          <cell r="G61">
            <v>1000</v>
          </cell>
          <cell r="H61">
            <v>4.9955548617127068</v>
          </cell>
          <cell r="I61">
            <v>4.9865565665884706</v>
          </cell>
          <cell r="J61">
            <v>4.9715954120120935</v>
          </cell>
          <cell r="K61">
            <v>4.9507251771274872</v>
          </cell>
          <cell r="M61">
            <v>1000</v>
          </cell>
          <cell r="N61">
            <v>0.24017090681311093</v>
          </cell>
          <cell r="O61">
            <v>0.4794765929411991</v>
          </cell>
          <cell r="P61">
            <v>0.71705703057866732</v>
          </cell>
          <cell r="Q61">
            <v>0.95206253406297836</v>
          </cell>
          <cell r="S61">
            <v>1000</v>
          </cell>
          <cell r="T61">
            <v>-0.24017090681311093</v>
          </cell>
          <cell r="U61">
            <v>-0.4794765929411991</v>
          </cell>
          <cell r="Z61">
            <v>-0.71705703057866732</v>
          </cell>
          <cell r="AA61">
            <v>-0.95206253406297836</v>
          </cell>
          <cell r="AL61">
            <v>1.3</v>
          </cell>
          <cell r="AM61">
            <v>40.531314738974089</v>
          </cell>
          <cell r="AO61">
            <v>14</v>
          </cell>
          <cell r="AP61">
            <v>83.525224751623824</v>
          </cell>
        </row>
        <row r="62">
          <cell r="A62">
            <v>1200</v>
          </cell>
          <cell r="B62">
            <v>0.43970319164224941</v>
          </cell>
          <cell r="C62">
            <v>0.44791747367330481</v>
          </cell>
          <cell r="D62">
            <v>0.46157507675297699</v>
          </cell>
          <cell r="E62">
            <v>0.48062690746419401</v>
          </cell>
          <cell r="G62">
            <v>1200</v>
          </cell>
          <cell r="H62">
            <v>4.5602968083577506</v>
          </cell>
          <cell r="I62">
            <v>4.5520825263266955</v>
          </cell>
          <cell r="J62">
            <v>4.5384249232470228</v>
          </cell>
          <cell r="K62">
            <v>4.5193730925358055</v>
          </cell>
          <cell r="M62">
            <v>1200</v>
          </cell>
          <cell r="N62">
            <v>0.26309404663602409</v>
          </cell>
          <cell r="O62">
            <v>0.52524029149923412</v>
          </cell>
          <cell r="P62">
            <v>0.78549662133121545</v>
          </cell>
          <cell r="Q62">
            <v>1.0429322521236477</v>
          </cell>
          <cell r="S62">
            <v>1200</v>
          </cell>
          <cell r="T62">
            <v>-0.26309404663602409</v>
          </cell>
          <cell r="U62">
            <v>-0.52524029149923412</v>
          </cell>
          <cell r="Z62">
            <v>-0.78549662133121545</v>
          </cell>
          <cell r="AA62">
            <v>-1.0429322521236477</v>
          </cell>
          <cell r="AL62">
            <v>1.4</v>
          </cell>
          <cell r="AM62">
            <v>46.991424629156953</v>
          </cell>
          <cell r="AO62">
            <v>15</v>
          </cell>
          <cell r="AP62">
            <v>89.444901496293909</v>
          </cell>
        </row>
        <row r="63">
          <cell r="A63">
            <v>1400</v>
          </cell>
          <cell r="B63">
            <v>0.77798555389377955</v>
          </cell>
          <cell r="C63">
            <v>0.78559050130333119</v>
          </cell>
          <cell r="D63">
            <v>0.79823498474920651</v>
          </cell>
          <cell r="E63">
            <v>0.81587355255911587</v>
          </cell>
          <cell r="G63">
            <v>1400</v>
          </cell>
          <cell r="H63">
            <v>4.222014446106221</v>
          </cell>
          <cell r="I63">
            <v>4.2144094986966696</v>
          </cell>
          <cell r="J63">
            <v>4.2017650152507935</v>
          </cell>
          <cell r="K63">
            <v>4.1841264474408844</v>
          </cell>
          <cell r="M63">
            <v>1400</v>
          </cell>
          <cell r="N63">
            <v>0.28417404925714945</v>
          </cell>
          <cell r="O63">
            <v>0.56732435559378247</v>
          </cell>
          <cell r="P63">
            <v>0.84843332038717945</v>
          </cell>
          <cell r="Q63">
            <v>1.1264955820033151</v>
          </cell>
          <cell r="S63">
            <v>1400</v>
          </cell>
          <cell r="T63">
            <v>-0.28417404925714945</v>
          </cell>
          <cell r="U63">
            <v>-0.56732435559378247</v>
          </cell>
          <cell r="Z63">
            <v>-0.84843332038717945</v>
          </cell>
          <cell r="AA63">
            <v>-1.1264955820033151</v>
          </cell>
          <cell r="AL63">
            <v>1.5</v>
          </cell>
          <cell r="AM63">
            <v>53.925392531792852</v>
          </cell>
          <cell r="AO63">
            <v>16</v>
          </cell>
          <cell r="AP63">
            <v>95.358422206917041</v>
          </cell>
        </row>
        <row r="64">
          <cell r="A64">
            <v>1600</v>
          </cell>
          <cell r="B64">
            <v>1.050667115165093</v>
          </cell>
          <cell r="C64">
            <v>1.0577808920778369</v>
          </cell>
          <cell r="D64">
            <v>1.0696087232996372</v>
          </cell>
          <cell r="E64">
            <v>1.0861080926841518</v>
          </cell>
          <cell r="G64">
            <v>1600</v>
          </cell>
          <cell r="H64">
            <v>3.9493328848349072</v>
          </cell>
          <cell r="I64">
            <v>3.9422191079221633</v>
          </cell>
          <cell r="J64">
            <v>3.9303912767003628</v>
          </cell>
          <cell r="K64">
            <v>3.9138919073158482</v>
          </cell>
          <cell r="M64">
            <v>1600</v>
          </cell>
          <cell r="N64">
            <v>0.3037948372949929</v>
          </cell>
          <cell r="O64">
            <v>0.60649524737264071</v>
          </cell>
          <cell r="P64">
            <v>0.90701337154623773</v>
          </cell>
          <cell r="Q64">
            <v>1.2042744330202613</v>
          </cell>
          <cell r="S64">
            <v>1600</v>
          </cell>
          <cell r="T64">
            <v>-0.3037948372949929</v>
          </cell>
          <cell r="U64">
            <v>-0.60649524737264071</v>
          </cell>
          <cell r="Z64">
            <v>-0.90701337154623773</v>
          </cell>
          <cell r="AA64">
            <v>-1.2042744330202613</v>
          </cell>
          <cell r="AL64">
            <v>1.6</v>
          </cell>
          <cell r="AM64">
            <v>61.33222174893649</v>
          </cell>
          <cell r="AO64">
            <v>17</v>
          </cell>
          <cell r="AP64">
            <v>101.26579287157989</v>
          </cell>
        </row>
        <row r="65">
          <cell r="A65">
            <v>1800</v>
          </cell>
          <cell r="B65">
            <v>1.2765332479602756</v>
          </cell>
          <cell r="C65">
            <v>1.283240181153408</v>
          </cell>
          <cell r="D65">
            <v>1.2943915673716282</v>
          </cell>
          <cell r="E65">
            <v>1.3099473220077511</v>
          </cell>
          <cell r="G65">
            <v>1800</v>
          </cell>
          <cell r="H65">
            <v>3.7234667520397249</v>
          </cell>
          <cell r="I65">
            <v>3.716759818846592</v>
          </cell>
          <cell r="J65">
            <v>3.705608432628372</v>
          </cell>
          <cell r="K65">
            <v>3.6900526779922491</v>
          </cell>
          <cell r="M65">
            <v>1800</v>
          </cell>
          <cell r="N65">
            <v>0.32222308431113006</v>
          </cell>
          <cell r="O65">
            <v>0.64328535326191028</v>
          </cell>
          <cell r="P65">
            <v>0.96203295847082726</v>
          </cell>
          <cell r="Q65">
            <v>1.2773259269973172</v>
          </cell>
          <cell r="S65">
            <v>1800</v>
          </cell>
          <cell r="T65">
            <v>-0.32222308431113006</v>
          </cell>
          <cell r="U65">
            <v>-0.64328535326191028</v>
          </cell>
          <cell r="Z65">
            <v>-0.96203295847082726</v>
          </cell>
          <cell r="AA65">
            <v>-1.2773259269973172</v>
          </cell>
          <cell r="AL65">
            <v>1.7</v>
          </cell>
          <cell r="AM65">
            <v>69.210848126490816</v>
          </cell>
          <cell r="AO65">
            <v>18</v>
          </cell>
          <cell r="AP65">
            <v>107.16701947275142</v>
          </cell>
        </row>
        <row r="66">
          <cell r="A66">
            <v>2000</v>
          </cell>
          <cell r="B66">
            <v>1.4676092814935193</v>
          </cell>
          <cell r="C66">
            <v>1.4739720369949847</v>
          </cell>
          <cell r="D66">
            <v>1.4845511708503212</v>
          </cell>
          <cell r="E66">
            <v>1.4993086554621824</v>
          </cell>
          <cell r="G66">
            <v>2000</v>
          </cell>
          <cell r="H66">
            <v>3.5323907185064805</v>
          </cell>
          <cell r="I66">
            <v>3.5260279630050149</v>
          </cell>
          <cell r="J66">
            <v>3.5154488291496788</v>
          </cell>
          <cell r="K66">
            <v>3.5006913445378172</v>
          </cell>
          <cell r="M66">
            <v>2000</v>
          </cell>
          <cell r="N66">
            <v>0.33965295370254622</v>
          </cell>
          <cell r="O66">
            <v>0.67808230057788765</v>
          </cell>
          <cell r="P66">
            <v>1.0140717776393307</v>
          </cell>
          <cell r="Q66">
            <v>1.3464197478991609</v>
          </cell>
          <cell r="S66">
            <v>2000</v>
          </cell>
          <cell r="T66">
            <v>-0.33965295370254622</v>
          </cell>
          <cell r="U66">
            <v>-0.67808230057788765</v>
          </cell>
          <cell r="Z66">
            <v>-1.0140717776393307</v>
          </cell>
          <cell r="AA66">
            <v>-1.3464197478991609</v>
          </cell>
          <cell r="AL66">
            <v>1.8</v>
          </cell>
          <cell r="AM66">
            <v>77.560140309020923</v>
          </cell>
          <cell r="AO66">
            <v>19</v>
          </cell>
          <cell r="AP66">
            <v>113.06210798728512</v>
          </cell>
        </row>
        <row r="67">
          <cell r="A67">
            <v>2200</v>
          </cell>
          <cell r="B67">
            <v>1.6319975993057125</v>
          </cell>
          <cell r="C67">
            <v>1.6380642486408765</v>
          </cell>
          <cell r="D67">
            <v>1.6481510569985611</v>
          </cell>
          <cell r="E67">
            <v>1.6622217664873389</v>
          </cell>
          <cell r="G67">
            <v>2200</v>
          </cell>
          <cell r="H67">
            <v>3.3680024006942872</v>
          </cell>
          <cell r="I67">
            <v>3.3619357513591233</v>
          </cell>
          <cell r="J67">
            <v>3.3518489430014387</v>
          </cell>
          <cell r="K67">
            <v>3.3377782335126609</v>
          </cell>
          <cell r="M67">
            <v>2200</v>
          </cell>
          <cell r="N67">
            <v>0.35623102315035737</v>
          </cell>
          <cell r="O67">
            <v>0.71117871663366072</v>
          </cell>
          <cell r="P67">
            <v>1.0635674530677641</v>
          </cell>
          <cell r="Q67">
            <v>1.4121369449476646</v>
          </cell>
          <cell r="S67">
            <v>2200</v>
          </cell>
          <cell r="T67">
            <v>-0.35623102315035737</v>
          </cell>
          <cell r="U67">
            <v>-0.71117871663366072</v>
          </cell>
          <cell r="Z67">
            <v>-1.0635674530677641</v>
          </cell>
          <cell r="AA67">
            <v>-1.4121369449476646</v>
          </cell>
          <cell r="AL67">
            <v>1.9</v>
          </cell>
          <cell r="AM67">
            <v>86.378900010516404</v>
          </cell>
          <cell r="AO67">
            <v>20</v>
          </cell>
          <cell r="AP67">
            <v>118.95106438642</v>
          </cell>
        </row>
        <row r="68">
          <cell r="A68">
            <v>2400</v>
          </cell>
          <cell r="B68">
            <v>1.7753832025868652</v>
          </cell>
          <cell r="C68">
            <v>1.7811915771136033</v>
          </cell>
          <cell r="D68">
            <v>1.7908489608659932</v>
          </cell>
          <cell r="E68">
            <v>1.8043206395559133</v>
          </cell>
          <cell r="G68">
            <v>2400</v>
          </cell>
          <cell r="H68">
            <v>3.2246167974131348</v>
          </cell>
          <cell r="I68">
            <v>3.2188084228863967</v>
          </cell>
          <cell r="J68">
            <v>3.2091510391340066</v>
          </cell>
          <cell r="K68">
            <v>3.1956793604440867</v>
          </cell>
          <cell r="M68">
            <v>2400</v>
          </cell>
          <cell r="N68">
            <v>0.37207116893228487</v>
          </cell>
          <cell r="O68">
            <v>0.74280194374301478</v>
          </cell>
          <cell r="P68">
            <v>1.1108599750848485</v>
          </cell>
          <cell r="Q68">
            <v>1.4749289355895785</v>
          </cell>
          <cell r="S68">
            <v>2400</v>
          </cell>
          <cell r="T68">
            <v>-0.37207116893228487</v>
          </cell>
          <cell r="U68">
            <v>-0.74280194374301478</v>
          </cell>
          <cell r="Z68">
            <v>-1.1108599750848485</v>
          </cell>
          <cell r="AA68">
            <v>-1.4749289355895785</v>
          </cell>
          <cell r="AL68">
            <v>2</v>
          </cell>
          <cell r="AM68">
            <v>95.665862301006484</v>
          </cell>
          <cell r="AO68">
            <v>21</v>
          </cell>
          <cell r="AP68">
            <v>124.83389463579408</v>
          </cell>
        </row>
        <row r="69">
          <cell r="A69">
            <v>2600</v>
          </cell>
          <cell r="B69">
            <v>1.901888393008172</v>
          </cell>
          <cell r="C69">
            <v>1.9074688987456221</v>
          </cell>
          <cell r="D69">
            <v>1.9167474129307676</v>
          </cell>
          <cell r="E69">
            <v>1.9296905831544007</v>
          </cell>
          <cell r="G69">
            <v>2600</v>
          </cell>
          <cell r="H69">
            <v>3.0981116069918282</v>
          </cell>
          <cell r="I69">
            <v>3.0925311012543775</v>
          </cell>
          <cell r="J69">
            <v>3.0832525870692327</v>
          </cell>
          <cell r="K69">
            <v>3.0703094168455993</v>
          </cell>
          <cell r="M69">
            <v>2600</v>
          </cell>
          <cell r="N69">
            <v>0.38726395087397852</v>
          </cell>
          <cell r="O69">
            <v>0.77313277531359459</v>
          </cell>
          <cell r="P69">
            <v>1.1562197201509623</v>
          </cell>
          <cell r="Q69">
            <v>1.5351547084227999</v>
          </cell>
          <cell r="S69">
            <v>2600</v>
          </cell>
          <cell r="T69">
            <v>-0.38726395087397852</v>
          </cell>
          <cell r="U69">
            <v>-0.77313277531359459</v>
          </cell>
          <cell r="Z69">
            <v>-1.1562197201509623</v>
          </cell>
          <cell r="AA69">
            <v>-1.5351547084227999</v>
          </cell>
          <cell r="AL69">
            <v>2.1</v>
          </cell>
          <cell r="AM69">
            <v>105.41969590895262</v>
          </cell>
          <cell r="AO69">
            <v>22</v>
          </cell>
          <cell r="AP69">
            <v>130.71060469544315</v>
          </cell>
        </row>
        <row r="70">
          <cell r="A70">
            <v>2800</v>
          </cell>
          <cell r="B70">
            <v>2.0145849548907258</v>
          </cell>
          <cell r="C70">
            <v>2.0199624647745869</v>
          </cell>
          <cell r="D70">
            <v>2.0289034647637667</v>
          </cell>
          <cell r="E70">
            <v>2.0413758156725721</v>
          </cell>
          <cell r="G70">
            <v>2800</v>
          </cell>
          <cell r="H70">
            <v>2.9854150451092738</v>
          </cell>
          <cell r="I70">
            <v>2.9800375352254131</v>
          </cell>
          <cell r="J70">
            <v>2.9710965352362333</v>
          </cell>
          <cell r="K70">
            <v>2.9586241843274279</v>
          </cell>
          <cell r="M70">
            <v>2800</v>
          </cell>
          <cell r="N70">
            <v>0.40188279453394071</v>
          </cell>
          <cell r="O70">
            <v>0.80231779794530356</v>
          </cell>
          <cell r="P70">
            <v>1.1998659084607863</v>
          </cell>
          <cell r="Q70">
            <v>1.5931053300224614</v>
          </cell>
          <cell r="S70">
            <v>2800</v>
          </cell>
          <cell r="T70">
            <v>-0.40188279453394071</v>
          </cell>
          <cell r="U70">
            <v>-0.80231779794530356</v>
          </cell>
          <cell r="Z70">
            <v>-1.1998659084607863</v>
          </cell>
          <cell r="AA70">
            <v>-1.5931053300224614</v>
          </cell>
          <cell r="AL70">
            <v>2.2000000000000002</v>
          </cell>
          <cell r="AM70">
            <v>115.63900353929401</v>
          </cell>
          <cell r="AO70">
            <v>23</v>
          </cell>
          <cell r="AP70">
            <v>136.5812005198097</v>
          </cell>
        </row>
        <row r="71">
          <cell r="A71">
            <v>3000</v>
          </cell>
          <cell r="B71">
            <v>2.1158150558386248</v>
          </cell>
          <cell r="C71">
            <v>2.1210102239508504</v>
          </cell>
          <cell r="D71">
            <v>2.129648050572909</v>
          </cell>
          <cell r="E71">
            <v>2.1416974863015881</v>
          </cell>
          <cell r="G71">
            <v>3000</v>
          </cell>
          <cell r="H71">
            <v>2.8841849441613756</v>
          </cell>
          <cell r="I71">
            <v>2.8789897760491496</v>
          </cell>
          <cell r="J71">
            <v>2.870351949427091</v>
          </cell>
          <cell r="K71">
            <v>2.8583025136984124</v>
          </cell>
          <cell r="M71">
            <v>3000</v>
          </cell>
          <cell r="N71">
            <v>0.41598821310019835</v>
          </cell>
          <cell r="O71">
            <v>0.83047782001417769</v>
          </cell>
          <cell r="P71">
            <v>1.2419792088867219</v>
          </cell>
          <cell r="Q71">
            <v>1.6490206809798533</v>
          </cell>
          <cell r="S71">
            <v>3000</v>
          </cell>
          <cell r="T71">
            <v>-0.41598821310019835</v>
          </cell>
          <cell r="U71">
            <v>-0.83047782001417769</v>
          </cell>
          <cell r="Z71">
            <v>-1.2419792088867219</v>
          </cell>
          <cell r="AA71">
            <v>-1.6490206809798533</v>
          </cell>
          <cell r="AL71">
            <v>2.2999999999999998</v>
          </cell>
          <cell r="AM71">
            <v>126.32232220705752</v>
          </cell>
          <cell r="AO71">
            <v>24</v>
          </cell>
          <cell r="AP71">
            <v>142.44568805774404</v>
          </cell>
        </row>
        <row r="72">
          <cell r="A72">
            <v>3200</v>
          </cell>
          <cell r="B72">
            <v>2.2073999359702063</v>
          </cell>
          <cell r="C72">
            <v>2.212430135865056</v>
          </cell>
          <cell r="D72">
            <v>2.220793675528721</v>
          </cell>
          <cell r="E72">
            <v>2.232460491505813</v>
          </cell>
          <cell r="G72">
            <v>3200</v>
          </cell>
          <cell r="H72">
            <v>2.7926000640297937</v>
          </cell>
          <cell r="I72">
            <v>2.787569864134944</v>
          </cell>
          <cell r="J72">
            <v>2.779206324471279</v>
          </cell>
          <cell r="K72">
            <v>2.767539508494187</v>
          </cell>
          <cell r="M72">
            <v>3200</v>
          </cell>
          <cell r="N72">
            <v>0.42963077908150671</v>
          </cell>
          <cell r="O72">
            <v>0.85771380434921374</v>
          </cell>
          <cell r="P72">
            <v>1.2827106112944364</v>
          </cell>
          <cell r="Q72">
            <v>1.7031012359964228</v>
          </cell>
          <cell r="S72">
            <v>3200</v>
          </cell>
          <cell r="T72">
            <v>-0.42963077908150671</v>
          </cell>
          <cell r="U72">
            <v>-0.85771380434921374</v>
          </cell>
          <cell r="Z72">
            <v>-1.2827106112944364</v>
          </cell>
          <cell r="AA72">
            <v>-1.7031012359964228</v>
          </cell>
          <cell r="AL72">
            <v>2.4</v>
          </cell>
          <cell r="AM72">
            <v>137.46812358640614</v>
          </cell>
          <cell r="AO72">
            <v>25</v>
          </cell>
          <cell r="AP72">
            <v>148.30407325251537</v>
          </cell>
        </row>
        <row r="73">
          <cell r="A73">
            <v>3400</v>
          </cell>
          <cell r="B73">
            <v>2.2907799919761223</v>
          </cell>
          <cell r="C73">
            <v>2.2956600026783427</v>
          </cell>
          <cell r="D73">
            <v>2.3037738279577153</v>
          </cell>
          <cell r="E73">
            <v>2.315092301978467</v>
          </cell>
          <cell r="G73">
            <v>3400</v>
          </cell>
          <cell r="H73">
            <v>2.7092200080238777</v>
          </cell>
          <cell r="I73">
            <v>2.7043399973216578</v>
          </cell>
          <cell r="J73">
            <v>2.6962261720422851</v>
          </cell>
          <cell r="K73">
            <v>2.6849076980215334</v>
          </cell>
          <cell r="M73">
            <v>3400</v>
          </cell>
          <cell r="N73">
            <v>0.44285327054236473</v>
          </cell>
          <cell r="O73">
            <v>0.8841111529705421</v>
          </cell>
          <cell r="P73">
            <v>1.3221878343668896</v>
          </cell>
          <cell r="Q73">
            <v>1.7555165717833106</v>
          </cell>
          <cell r="S73">
            <v>3400</v>
          </cell>
          <cell r="T73">
            <v>-0.44285327054236473</v>
          </cell>
          <cell r="U73">
            <v>-0.8841111529705421</v>
          </cell>
          <cell r="Z73">
            <v>-1.3221878343668896</v>
          </cell>
          <cell r="AA73">
            <v>-1.7555165717833106</v>
          </cell>
          <cell r="AL73">
            <v>2.5</v>
          </cell>
          <cell r="AM73">
            <v>149.07481437502534</v>
          </cell>
        </row>
        <row r="74">
          <cell r="A74">
            <v>3600</v>
          </cell>
          <cell r="B74">
            <v>2.3671114101100619</v>
          </cell>
          <cell r="C74">
            <v>2.3718539280518915</v>
          </cell>
          <cell r="D74">
            <v>2.3797391488664252</v>
          </cell>
          <cell r="E74">
            <v>2.3907387284561015</v>
          </cell>
          <cell r="G74">
            <v>3600</v>
          </cell>
          <cell r="H74">
            <v>2.6328885898899386</v>
          </cell>
          <cell r="I74">
            <v>2.6281460719481093</v>
          </cell>
          <cell r="J74">
            <v>2.6202608511335757</v>
          </cell>
          <cell r="K74">
            <v>2.609261271543899</v>
          </cell>
          <cell r="M74">
            <v>3600</v>
          </cell>
          <cell r="N74">
            <v>0.45569225594248935</v>
          </cell>
          <cell r="O74">
            <v>0.90974287105896079</v>
          </cell>
          <cell r="P74">
            <v>1.3605200573193565</v>
          </cell>
          <cell r="Q74">
            <v>1.8064116495303915</v>
          </cell>
          <cell r="S74">
            <v>3600</v>
          </cell>
          <cell r="T74">
            <v>-0.45569225594248935</v>
          </cell>
          <cell r="U74">
            <v>-0.90974287105896079</v>
          </cell>
          <cell r="Z74">
            <v>-1.3605200573193565</v>
          </cell>
          <cell r="AA74">
            <v>-1.8064116495303915</v>
          </cell>
        </row>
        <row r="75">
          <cell r="A75">
            <v>3800</v>
          </cell>
          <cell r="B75">
            <v>2.4373344276145086</v>
          </cell>
          <cell r="C75">
            <v>2.4419504556160789</v>
          </cell>
          <cell r="D75">
            <v>2.4496253659748599</v>
          </cell>
          <cell r="E75">
            <v>2.4603315705721291</v>
          </cell>
          <cell r="G75">
            <v>3800</v>
          </cell>
          <cell r="H75">
            <v>2.5626655723854919</v>
          </cell>
          <cell r="I75">
            <v>2.5580495443839215</v>
          </cell>
          <cell r="J75">
            <v>2.5503746340251405</v>
          </cell>
          <cell r="K75">
            <v>2.5396684294278709</v>
          </cell>
          <cell r="M75">
            <v>3800</v>
          </cell>
          <cell r="N75">
            <v>0.46817928726273406</v>
          </cell>
          <cell r="O75">
            <v>0.93467194890950978</v>
          </cell>
          <cell r="P75">
            <v>1.3978014821099325</v>
          </cell>
          <cell r="Q75">
            <v>1.8559115445819057</v>
          </cell>
          <cell r="S75">
            <v>3800</v>
          </cell>
          <cell r="T75">
            <v>-0.46817928726273406</v>
          </cell>
          <cell r="U75">
            <v>-0.93467194890950978</v>
          </cell>
          <cell r="Z75">
            <v>-1.3978014821099325</v>
          </cell>
          <cell r="AA75">
            <v>-1.8559115445819057</v>
          </cell>
        </row>
        <row r="76">
          <cell r="A76">
            <v>4000</v>
          </cell>
          <cell r="B76">
            <v>2.5022225691436466</v>
          </cell>
          <cell r="C76">
            <v>2.5067217167057647</v>
          </cell>
          <cell r="D76">
            <v>2.5142022939939532</v>
          </cell>
          <cell r="E76">
            <v>2.5246374114362564</v>
          </cell>
          <cell r="G76">
            <v>4000</v>
          </cell>
          <cell r="H76">
            <v>2.4977774308563534</v>
          </cell>
          <cell r="I76">
            <v>2.4932782832942353</v>
          </cell>
          <cell r="J76">
            <v>2.4857977060060468</v>
          </cell>
          <cell r="K76">
            <v>2.4753625885637436</v>
          </cell>
          <cell r="M76">
            <v>4000</v>
          </cell>
          <cell r="N76">
            <v>0.48034181362622186</v>
          </cell>
          <cell r="O76">
            <v>0.9589531858823982</v>
          </cell>
          <cell r="P76">
            <v>1.4341140611573346</v>
          </cell>
          <cell r="Q76">
            <v>1.9041250681259567</v>
          </cell>
          <cell r="S76">
            <v>4000</v>
          </cell>
          <cell r="T76">
            <v>-0.48034181362622186</v>
          </cell>
          <cell r="U76">
            <v>-0.9589531858823982</v>
          </cell>
          <cell r="Z76">
            <v>-1.4341140611573346</v>
          </cell>
          <cell r="AA76">
            <v>-1.9041250681259567</v>
          </cell>
        </row>
        <row r="77">
          <cell r="A77">
            <v>4200</v>
          </cell>
          <cell r="B77">
            <v>2.5624188230180849</v>
          </cell>
          <cell r="C77">
            <v>2.5668095414521623</v>
          </cell>
          <cell r="D77">
            <v>2.5741098373734026</v>
          </cell>
          <cell r="E77">
            <v>2.5842934692465733</v>
          </cell>
          <cell r="G77">
            <v>4200</v>
          </cell>
          <cell r="H77">
            <v>2.4375811769819156</v>
          </cell>
          <cell r="I77">
            <v>2.4331904585478381</v>
          </cell>
          <cell r="J77">
            <v>2.4258901626265978</v>
          </cell>
          <cell r="K77">
            <v>2.4157065307534276</v>
          </cell>
          <cell r="M77">
            <v>4200</v>
          </cell>
          <cell r="N77">
            <v>0.49220389150596366</v>
          </cell>
          <cell r="O77">
            <v>0.98263460825970383</v>
          </cell>
          <cell r="P77">
            <v>1.4695296177449584</v>
          </cell>
          <cell r="Q77">
            <v>1.9511475825316145</v>
          </cell>
          <cell r="S77">
            <v>4200</v>
          </cell>
          <cell r="T77">
            <v>-0.49220389150596366</v>
          </cell>
          <cell r="U77">
            <v>-0.98263460825970383</v>
          </cell>
          <cell r="Z77">
            <v>-1.4695296177449584</v>
          </cell>
          <cell r="AA77">
            <v>-1.9511475825316145</v>
          </cell>
        </row>
        <row r="78">
          <cell r="A78">
            <v>4400</v>
          </cell>
          <cell r="B78">
            <v>2.6184626634164978</v>
          </cell>
          <cell r="C78">
            <v>2.6227524323004729</v>
          </cell>
          <cell r="D78">
            <v>2.6298848828907211</v>
          </cell>
          <cell r="E78">
            <v>2.6398343769863413</v>
          </cell>
          <cell r="G78">
            <v>4400</v>
          </cell>
          <cell r="H78">
            <v>2.3815373365835022</v>
          </cell>
          <cell r="I78">
            <v>2.3772475676995266</v>
          </cell>
          <cell r="J78">
            <v>2.3701151171092789</v>
          </cell>
          <cell r="K78">
            <v>2.3601656230136583</v>
          </cell>
          <cell r="M78">
            <v>4400</v>
          </cell>
          <cell r="N78">
            <v>0.50378674427727932</v>
          </cell>
          <cell r="O78">
            <v>1.0057585863344152</v>
          </cell>
          <cell r="P78">
            <v>1.5041115166270427</v>
          </cell>
          <cell r="Q78">
            <v>1.997063219473096</v>
          </cell>
          <cell r="S78">
            <v>4400</v>
          </cell>
          <cell r="T78">
            <v>-0.50378674427727932</v>
          </cell>
          <cell r="U78">
            <v>-1.0057585863344152</v>
          </cell>
          <cell r="Z78">
            <v>-1.5041115166270427</v>
          </cell>
          <cell r="AA78">
            <v>-1.997063219473096</v>
          </cell>
        </row>
        <row r="79">
          <cell r="A79">
            <v>4600</v>
          </cell>
          <cell r="B79">
            <v>2.6708105358123126</v>
          </cell>
          <cell r="C79">
            <v>2.6750060125469708</v>
          </cell>
          <cell r="D79">
            <v>2.6819816868366195</v>
          </cell>
          <cell r="E79">
            <v>2.6917124840261195</v>
          </cell>
          <cell r="G79">
            <v>4600</v>
          </cell>
          <cell r="H79">
            <v>2.3291894641876874</v>
          </cell>
          <cell r="I79">
            <v>2.3249939874530292</v>
          </cell>
          <cell r="J79">
            <v>2.3180183131633805</v>
          </cell>
          <cell r="K79">
            <v>2.30828751597388</v>
          </cell>
          <cell r="M79">
            <v>4600</v>
          </cell>
          <cell r="N79">
            <v>0.51510920842612318</v>
          </cell>
          <cell r="O79">
            <v>1.0283627252196093</v>
          </cell>
          <cell r="P79">
            <v>1.5379159962333966</v>
          </cell>
          <cell r="Q79">
            <v>2.0419466487461251</v>
          </cell>
          <cell r="S79">
            <v>4600</v>
          </cell>
          <cell r="T79">
            <v>-0.51510920842612318</v>
          </cell>
          <cell r="U79">
            <v>-1.0283627252196093</v>
          </cell>
          <cell r="Z79">
            <v>-1.5379159962333966</v>
          </cell>
          <cell r="AA79">
            <v>-2.0419466487461251</v>
          </cell>
        </row>
        <row r="80">
          <cell r="A80">
            <v>4800</v>
          </cell>
          <cell r="B80">
            <v>2.7198515958211247</v>
          </cell>
          <cell r="C80">
            <v>2.7239587368366527</v>
          </cell>
          <cell r="D80">
            <v>2.7307875383764881</v>
          </cell>
          <cell r="E80">
            <v>2.7403134537320972</v>
          </cell>
          <cell r="G80">
            <v>4800</v>
          </cell>
          <cell r="H80">
            <v>2.2801484041788753</v>
          </cell>
          <cell r="I80">
            <v>2.2760412631633478</v>
          </cell>
          <cell r="J80">
            <v>2.2692124616235114</v>
          </cell>
          <cell r="K80">
            <v>2.2596865462679028</v>
          </cell>
          <cell r="M80">
            <v>4800</v>
          </cell>
          <cell r="N80">
            <v>0.52618809327204819</v>
          </cell>
          <cell r="O80">
            <v>1.0504805829984682</v>
          </cell>
          <cell r="P80">
            <v>1.5709932426624309</v>
          </cell>
          <cell r="Q80">
            <v>2.0858645042472954</v>
          </cell>
          <cell r="S80">
            <v>4800</v>
          </cell>
          <cell r="T80">
            <v>-0.52618809327204819</v>
          </cell>
          <cell r="U80">
            <v>-1.0504805829984682</v>
          </cell>
          <cell r="Z80">
            <v>-1.5709932426624309</v>
          </cell>
          <cell r="AA80">
            <v>-2.0858645042472954</v>
          </cell>
        </row>
        <row r="81">
          <cell r="A81">
            <v>5000</v>
          </cell>
          <cell r="B81">
            <v>2.7659199487761654</v>
          </cell>
          <cell r="C81">
            <v>2.7699441086920453</v>
          </cell>
          <cell r="D81">
            <v>2.7766349404229769</v>
          </cell>
          <cell r="E81">
            <v>2.7859683932046511</v>
          </cell>
          <cell r="G81">
            <v>5000</v>
          </cell>
          <cell r="H81">
            <v>2.234080051223835</v>
          </cell>
          <cell r="I81">
            <v>2.2300558913079556</v>
          </cell>
          <cell r="J81">
            <v>2.2233650595770231</v>
          </cell>
          <cell r="K81">
            <v>2.2140316067953498</v>
          </cell>
          <cell r="M81">
            <v>5000</v>
          </cell>
          <cell r="N81">
            <v>0.53703847385188341</v>
          </cell>
          <cell r="O81">
            <v>1.072142255436517</v>
          </cell>
          <cell r="P81">
            <v>1.6033882641180455</v>
          </cell>
          <cell r="Q81">
            <v>2.1288765449955287</v>
          </cell>
          <cell r="S81">
            <v>5000</v>
          </cell>
          <cell r="T81">
            <v>-0.53703847385188341</v>
          </cell>
          <cell r="U81">
            <v>-1.072142255436517</v>
          </cell>
          <cell r="Z81">
            <v>-1.6033882641180455</v>
          </cell>
          <cell r="AA81">
            <v>-2.1288765449955287</v>
          </cell>
        </row>
        <row r="82">
          <cell r="A82">
            <v>5200</v>
          </cell>
          <cell r="B82">
            <v>2.8093042738233263</v>
          </cell>
          <cell r="C82">
            <v>2.8132502872727287</v>
          </cell>
          <cell r="D82">
            <v>2.8198111875723799</v>
          </cell>
          <cell r="E82">
            <v>2.8289633910075631</v>
          </cell>
          <cell r="G82">
            <v>5200</v>
          </cell>
          <cell r="H82">
            <v>2.1906957261766733</v>
          </cell>
          <cell r="I82">
            <v>2.1867497127272717</v>
          </cell>
          <cell r="J82">
            <v>2.1801888124276201</v>
          </cell>
          <cell r="K82">
            <v>2.1710366089924373</v>
          </cell>
          <cell r="M82">
            <v>5200</v>
          </cell>
          <cell r="N82">
            <v>0.54767393154416844</v>
          </cell>
          <cell r="O82">
            <v>1.0933748563636361</v>
          </cell>
          <cell r="P82">
            <v>1.6351416093207152</v>
          </cell>
          <cell r="Q82">
            <v>2.1710366089924378</v>
          </cell>
          <cell r="S82">
            <v>5200</v>
          </cell>
          <cell r="T82">
            <v>-0.54767393154416844</v>
          </cell>
          <cell r="U82">
            <v>-1.0933748563636361</v>
          </cell>
          <cell r="Z82">
            <v>-1.6351416093207152</v>
          </cell>
          <cell r="AA82">
            <v>-2.1710366089924378</v>
          </cell>
        </row>
        <row r="84">
          <cell r="B84" t="str">
            <v>Rho IG</v>
          </cell>
          <cell r="H84" t="str">
            <v>Rho LP</v>
          </cell>
          <cell r="N84" t="str">
            <v>Theta IG</v>
          </cell>
          <cell r="T84" t="str">
            <v>Theta LP</v>
          </cell>
          <cell r="AD84" t="str">
            <v>Gamma IG</v>
          </cell>
          <cell r="AJ84" t="str">
            <v>Gamma LP</v>
          </cell>
        </row>
        <row r="85">
          <cell r="B85" t="str">
            <v>Vol 50%</v>
          </cell>
          <cell r="C85" t="str">
            <v>Vol 100%</v>
          </cell>
          <cell r="D85" t="str">
            <v>Vol 150%</v>
          </cell>
          <cell r="E85" t="str">
            <v>Vol 200%</v>
          </cell>
          <cell r="H85" t="str">
            <v>Vol 50%</v>
          </cell>
          <cell r="I85" t="str">
            <v>Vol 100%</v>
          </cell>
          <cell r="J85" t="str">
            <v>Vol 150%</v>
          </cell>
          <cell r="K85" t="str">
            <v>Vol 200%</v>
          </cell>
          <cell r="N85" t="str">
            <v>Vol 50%</v>
          </cell>
          <cell r="O85" t="str">
            <v>Vol 100%</v>
          </cell>
          <cell r="P85" t="str">
            <v>Vol 150%</v>
          </cell>
          <cell r="Q85" t="str">
            <v>Vol 200%</v>
          </cell>
          <cell r="T85" t="str">
            <v>Vol 50%</v>
          </cell>
          <cell r="U85" t="str">
            <v>Vol 100%</v>
          </cell>
          <cell r="Z85" t="str">
            <v>Vol 150%</v>
          </cell>
          <cell r="AA85" t="str">
            <v>Vol 200%</v>
          </cell>
          <cell r="AD85" t="str">
            <v>Vol 50%</v>
          </cell>
          <cell r="AE85" t="str">
            <v>Vol 100%</v>
          </cell>
          <cell r="AF85" t="str">
            <v>Vol 150%</v>
          </cell>
          <cell r="AG85" t="str">
            <v>Vol 200%</v>
          </cell>
          <cell r="AJ85" t="str">
            <v>Vol 50%</v>
          </cell>
          <cell r="AK85" t="str">
            <v>Vol 100%</v>
          </cell>
          <cell r="AL85" t="str">
            <v>Vol 150%</v>
          </cell>
          <cell r="AM85" t="str">
            <v>Vol 200%</v>
          </cell>
        </row>
        <row r="86">
          <cell r="A86">
            <v>10</v>
          </cell>
          <cell r="B86">
            <v>-0.86491552507398273</v>
          </cell>
          <cell r="C86">
            <v>-0.86508856921098709</v>
          </cell>
          <cell r="D86">
            <v>-0.86537628372207143</v>
          </cell>
          <cell r="E86">
            <v>-0.86577763439292921</v>
          </cell>
          <cell r="G86">
            <v>10</v>
          </cell>
          <cell r="H86">
            <v>-9.9764454601395228E-2</v>
          </cell>
          <cell r="I86">
            <v>-9.9591410464390684E-2</v>
          </cell>
          <cell r="J86">
            <v>-9.9303695953306528E-2</v>
          </cell>
          <cell r="K86">
            <v>-9.8902345282448692E-2</v>
          </cell>
          <cell r="M86">
            <v>10</v>
          </cell>
          <cell r="N86">
            <v>0.28412220281051193</v>
          </cell>
          <cell r="O86">
            <v>2.8191514060827955E-2</v>
          </cell>
          <cell r="P86">
            <v>-0.39631107305489638</v>
          </cell>
          <cell r="Q86">
            <v>1.3986336536350978</v>
          </cell>
          <cell r="S86">
            <v>10</v>
          </cell>
          <cell r="T86">
            <v>0.12817937754389611</v>
          </cell>
          <cell r="U86">
            <v>0.38411006629358013</v>
          </cell>
          <cell r="Z86">
            <v>0.80861265340930433</v>
          </cell>
          <cell r="AA86">
            <v>1.3986336536350978</v>
          </cell>
          <cell r="AC86">
            <v>10</v>
          </cell>
          <cell r="AD86">
            <v>2.4977774308563525</v>
          </cell>
          <cell r="AE86">
            <v>2.4932782832942344</v>
          </cell>
          <cell r="AF86">
            <v>2.4857977060060459</v>
          </cell>
          <cell r="AG86">
            <v>2.4753625885637427</v>
          </cell>
          <cell r="AI86">
            <v>10</v>
          </cell>
          <cell r="AJ86">
            <v>-2.4977774308563525</v>
          </cell>
          <cell r="AK86">
            <v>-2.4932782832942344</v>
          </cell>
          <cell r="AL86">
            <v>-2.4857977060060459</v>
          </cell>
          <cell r="AM86">
            <v>-2.4753625885637427</v>
          </cell>
        </row>
        <row r="87">
          <cell r="A87">
            <v>22.857142857142858</v>
          </cell>
          <cell r="B87">
            <v>-0.81574217543800187</v>
          </cell>
          <cell r="C87">
            <v>-0.81600379358220299</v>
          </cell>
          <cell r="D87">
            <v>-0.81643877703643908</v>
          </cell>
          <cell r="E87">
            <v>-0.81704556221564983</v>
          </cell>
          <cell r="G87">
            <v>22.857142857142858</v>
          </cell>
          <cell r="H87">
            <v>-0.14893780423737596</v>
          </cell>
          <cell r="I87">
            <v>-0.1486761860931749</v>
          </cell>
          <cell r="J87">
            <v>-0.14824120263893875</v>
          </cell>
          <cell r="K87">
            <v>-0.14763441745972808</v>
          </cell>
          <cell r="M87">
            <v>22.857142857142858</v>
          </cell>
          <cell r="N87">
            <v>0.21932115849569891</v>
          </cell>
          <cell r="O87">
            <v>-0.16760967310495245</v>
          </cell>
          <cell r="P87">
            <v>-0.80939725962594566</v>
          </cell>
          <cell r="Q87">
            <v>2.1137267456392306</v>
          </cell>
          <cell r="S87">
            <v>22.857142857142858</v>
          </cell>
          <cell r="T87">
            <v>0.19298042185870906</v>
          </cell>
          <cell r="U87">
            <v>0.57991125345936045</v>
          </cell>
          <cell r="Z87">
            <v>1.2216988399803537</v>
          </cell>
          <cell r="AA87">
            <v>2.1137267456392306</v>
          </cell>
          <cell r="AC87">
            <v>22.857142857142858</v>
          </cell>
          <cell r="AD87">
            <v>0.72280445917265912</v>
          </cell>
          <cell r="AE87">
            <v>0.72150250012690853</v>
          </cell>
          <cell r="AF87">
            <v>0.7193377777804365</v>
          </cell>
          <cell r="AG87">
            <v>0.71631807341202081</v>
          </cell>
          <cell r="AI87">
            <v>22.857142857142858</v>
          </cell>
          <cell r="AJ87">
            <v>-0.72280445917265912</v>
          </cell>
          <cell r="AK87">
            <v>-0.72150250012690853</v>
          </cell>
          <cell r="AL87">
            <v>-0.7193377777804365</v>
          </cell>
          <cell r="AM87">
            <v>-0.71631807341202081</v>
          </cell>
        </row>
        <row r="88">
          <cell r="A88">
            <v>35.714285714285715</v>
          </cell>
          <cell r="B88">
            <v>-0.7794317473476956</v>
          </cell>
          <cell r="C88">
            <v>-0.77975877002794691</v>
          </cell>
          <cell r="D88">
            <v>-0.78030249934574214</v>
          </cell>
          <cell r="E88">
            <v>-0.7810609808197555</v>
          </cell>
          <cell r="G88">
            <v>35.714285714285715</v>
          </cell>
          <cell r="H88">
            <v>-0.18524823232768223</v>
          </cell>
          <cell r="I88">
            <v>-0.18492120964743095</v>
          </cell>
          <cell r="J88">
            <v>-0.18437748032963575</v>
          </cell>
          <cell r="K88">
            <v>-0.18361899885562238</v>
          </cell>
          <cell r="M88">
            <v>35.714285714285715</v>
          </cell>
          <cell r="N88">
            <v>0.17147097791641866</v>
          </cell>
          <cell r="O88">
            <v>-0.31219256158439562</v>
          </cell>
          <cell r="P88">
            <v>-1.114427044735637</v>
          </cell>
          <cell r="Q88">
            <v>2.6417635071636409</v>
          </cell>
          <cell r="S88">
            <v>35.714285714285715</v>
          </cell>
          <cell r="T88">
            <v>0.24083060243798937</v>
          </cell>
          <cell r="U88">
            <v>0.72449414193880368</v>
          </cell>
          <cell r="Z88">
            <v>1.5267286250900451</v>
          </cell>
          <cell r="AA88">
            <v>2.6417635071636409</v>
          </cell>
          <cell r="AC88">
            <v>35.714285714285715</v>
          </cell>
          <cell r="AD88">
            <v>0.37007588309640155</v>
          </cell>
          <cell r="AE88">
            <v>0.36940928006497725</v>
          </cell>
          <cell r="AF88">
            <v>0.36830094222358362</v>
          </cell>
          <cell r="AG88">
            <v>0.3667548535869547</v>
          </cell>
          <cell r="AI88">
            <v>35.714285714285715</v>
          </cell>
          <cell r="AJ88">
            <v>-0.37007588309640155</v>
          </cell>
          <cell r="AK88">
            <v>-0.36940928006497725</v>
          </cell>
          <cell r="AL88">
            <v>-0.36830094222358362</v>
          </cell>
          <cell r="AM88">
            <v>-0.3667548535869547</v>
          </cell>
        </row>
        <row r="89">
          <cell r="A89">
            <v>48.571428571428569</v>
          </cell>
          <cell r="B89">
            <v>-0.74925952832341158</v>
          </cell>
          <cell r="C89">
            <v>-0.74964089902682529</v>
          </cell>
          <cell r="D89">
            <v>-0.75027499092600147</v>
          </cell>
          <cell r="E89">
            <v>-0.75115952472362213</v>
          </cell>
          <cell r="G89">
            <v>48.571428571428569</v>
          </cell>
          <cell r="H89">
            <v>-0.21542045135196627</v>
          </cell>
          <cell r="I89">
            <v>-0.21503908064855254</v>
          </cell>
          <cell r="J89">
            <v>-0.21440498874937641</v>
          </cell>
          <cell r="K89">
            <v>-0.21352045495175573</v>
          </cell>
          <cell r="M89">
            <v>48.571428571428569</v>
          </cell>
          <cell r="N89">
            <v>0.13170977969537584</v>
          </cell>
          <cell r="O89">
            <v>-0.43233398672859574</v>
          </cell>
          <cell r="P89">
            <v>-1.3678921226567906</v>
          </cell>
          <cell r="Q89">
            <v>3.0805366547003259</v>
          </cell>
          <cell r="S89">
            <v>48.571428571428569</v>
          </cell>
          <cell r="T89">
            <v>0.28059180065903222</v>
          </cell>
          <cell r="U89">
            <v>0.84463556708300369</v>
          </cell>
          <cell r="Z89">
            <v>1.7801937030111985</v>
          </cell>
          <cell r="AA89">
            <v>3.0805366547003259</v>
          </cell>
          <cell r="AC89">
            <v>48.571428571428569</v>
          </cell>
          <cell r="AD89">
            <v>0.23333636156763748</v>
          </cell>
          <cell r="AE89">
            <v>0.23291606202079568</v>
          </cell>
          <cell r="AF89">
            <v>0.23221724447793202</v>
          </cell>
          <cell r="AG89">
            <v>0.23124242089820127</v>
          </cell>
          <cell r="AI89">
            <v>48.571428571428569</v>
          </cell>
          <cell r="AJ89">
            <v>-0.23333636156763748</v>
          </cell>
          <cell r="AK89">
            <v>-0.23291606202079568</v>
          </cell>
          <cell r="AL89">
            <v>-0.23221724447793202</v>
          </cell>
          <cell r="AM89">
            <v>-0.23124242089820127</v>
          </cell>
        </row>
        <row r="90">
          <cell r="A90">
            <v>61.428571428571431</v>
          </cell>
          <cell r="B90">
            <v>-0.72288048780595515</v>
          </cell>
          <cell r="C90">
            <v>-0.72330937403031526</v>
          </cell>
          <cell r="D90">
            <v>-0.72402246834537565</v>
          </cell>
          <cell r="E90">
            <v>-0.72501720747290865</v>
          </cell>
          <cell r="G90">
            <v>61.428571428571431</v>
          </cell>
          <cell r="H90">
            <v>-0.24179949186942282</v>
          </cell>
          <cell r="I90">
            <v>-0.24137060564506271</v>
          </cell>
          <cell r="J90">
            <v>-0.24065751133000218</v>
          </cell>
          <cell r="K90">
            <v>-0.23966277220246926</v>
          </cell>
          <cell r="M90">
            <v>61.428571428571431</v>
          </cell>
          <cell r="N90">
            <v>9.694726328743998E-2</v>
          </cell>
          <cell r="O90">
            <v>-0.53737152205714045</v>
          </cell>
          <cell r="P90">
            <v>-1.5894921831250315</v>
          </cell>
          <cell r="Q90">
            <v>3.464148301809427</v>
          </cell>
          <cell r="S90">
            <v>61.428571428571431</v>
          </cell>
          <cell r="T90">
            <v>0.31535431706696804</v>
          </cell>
          <cell r="U90">
            <v>0.94967310241154834</v>
          </cell>
          <cell r="Z90">
            <v>2.0017937634794398</v>
          </cell>
          <cell r="AA90">
            <v>3.464148301809427</v>
          </cell>
          <cell r="AC90">
            <v>61.428571428571431</v>
          </cell>
          <cell r="AD90">
            <v>0.16405826478714342</v>
          </cell>
          <cell r="AE90">
            <v>0.16376275313228417</v>
          </cell>
          <cell r="AF90">
            <v>0.16327141610827819</v>
          </cell>
          <cell r="AG90">
            <v>0.16258601986789042</v>
          </cell>
          <cell r="AI90">
            <v>61.428571428571431</v>
          </cell>
          <cell r="AJ90">
            <v>-0.16405826478714342</v>
          </cell>
          <cell r="AK90">
            <v>-0.16376275313228417</v>
          </cell>
          <cell r="AL90">
            <v>-0.16327141610827819</v>
          </cell>
          <cell r="AM90">
            <v>-0.16258601986789042</v>
          </cell>
        </row>
        <row r="91">
          <cell r="A91">
            <v>74.285714285714292</v>
          </cell>
          <cell r="B91">
            <v>-0.69914566717193249</v>
          </cell>
          <cell r="C91">
            <v>-0.69961730598868688</v>
          </cell>
          <cell r="D91">
            <v>-0.7004014835628003</v>
          </cell>
          <cell r="E91">
            <v>-0.70149538110121812</v>
          </cell>
          <cell r="G91">
            <v>74.285714285714292</v>
          </cell>
          <cell r="H91">
            <v>-0.26553431250344539</v>
          </cell>
          <cell r="I91">
            <v>-0.26506267368669112</v>
          </cell>
          <cell r="J91">
            <v>-0.26427849611257764</v>
          </cell>
          <cell r="K91">
            <v>-0.26318459857415977</v>
          </cell>
          <cell r="M91">
            <v>74.285714285714292</v>
          </cell>
          <cell r="N91">
            <v>6.5669321575207509E-2</v>
          </cell>
          <cell r="O91">
            <v>-0.63188015512182782</v>
          </cell>
          <cell r="P91">
            <v>-1.7888791807006892</v>
          </cell>
          <cell r="Q91">
            <v>3.8093069375540138</v>
          </cell>
          <cell r="S91">
            <v>74.285714285714292</v>
          </cell>
          <cell r="T91">
            <v>0.34663225877920056</v>
          </cell>
          <cell r="U91">
            <v>1.0441817354762357</v>
          </cell>
          <cell r="Z91">
            <v>2.2011807610550971</v>
          </cell>
          <cell r="AA91">
            <v>3.8093069375540138</v>
          </cell>
          <cell r="AC91">
            <v>74.285714285714292</v>
          </cell>
          <cell r="AD91">
            <v>0.12336608471862914</v>
          </cell>
          <cell r="AE91">
            <v>0.12314387027611989</v>
          </cell>
          <cell r="AF91">
            <v>0.12277440199600877</v>
          </cell>
          <cell r="AG91">
            <v>0.12225900796348495</v>
          </cell>
          <cell r="AI91">
            <v>74.285714285714292</v>
          </cell>
          <cell r="AJ91">
            <v>-0.12336608471862914</v>
          </cell>
          <cell r="AK91">
            <v>-0.12314387027611989</v>
          </cell>
          <cell r="AL91">
            <v>-0.12277440199600877</v>
          </cell>
          <cell r="AM91">
            <v>-0.12225900796348495</v>
          </cell>
        </row>
        <row r="92">
          <cell r="A92">
            <v>87.142857142857153</v>
          </cell>
          <cell r="B92">
            <v>-0.6773903785748806</v>
          </cell>
          <cell r="C92">
            <v>-0.67790120433136991</v>
          </cell>
          <cell r="D92">
            <v>-0.67875053667698804</v>
          </cell>
          <cell r="E92">
            <v>-0.67993532261430689</v>
          </cell>
          <cell r="G92">
            <v>87.142857142857153</v>
          </cell>
          <cell r="H92">
            <v>-0.28728960110049739</v>
          </cell>
          <cell r="I92">
            <v>-0.28677877534400797</v>
          </cell>
          <cell r="J92">
            <v>-0.28592944299838985</v>
          </cell>
          <cell r="K92">
            <v>-0.28474465706107099</v>
          </cell>
          <cell r="M92">
            <v>87.142857142857153</v>
          </cell>
          <cell r="N92">
            <v>3.7000023451421199E-2</v>
          </cell>
          <cell r="O92">
            <v>-0.71850657707539878</v>
          </cell>
          <cell r="P92">
            <v>-1.9716368994820241</v>
          </cell>
          <cell r="Q92">
            <v>4.125678645104415</v>
          </cell>
          <cell r="S92">
            <v>87.142857142857153</v>
          </cell>
          <cell r="T92">
            <v>0.37530155690298683</v>
          </cell>
          <cell r="U92">
            <v>1.1308081574298068</v>
          </cell>
          <cell r="Z92">
            <v>2.3839384798364325</v>
          </cell>
          <cell r="AA92">
            <v>4.125678645104415</v>
          </cell>
          <cell r="AC92">
            <v>87.142857142857153</v>
          </cell>
          <cell r="AD92">
            <v>9.7097052069824608E-2</v>
          </cell>
          <cell r="AE92">
            <v>9.6922154995444737E-2</v>
          </cell>
          <cell r="AF92">
            <v>9.663135966937178E-2</v>
          </cell>
          <cell r="AG92">
            <v>9.6225711380163448E-2</v>
          </cell>
          <cell r="AI92">
            <v>87.142857142857153</v>
          </cell>
          <cell r="AJ92">
            <v>-9.7097052069824608E-2</v>
          </cell>
          <cell r="AK92">
            <v>-9.6922154995444737E-2</v>
          </cell>
          <cell r="AL92">
            <v>-9.663135966937178E-2</v>
          </cell>
          <cell r="AM92">
            <v>-9.6225711380163448E-2</v>
          </cell>
        </row>
        <row r="93">
          <cell r="A93">
            <v>100</v>
          </cell>
          <cell r="B93">
            <v>-0.65718905050423415</v>
          </cell>
          <cell r="C93">
            <v>-0.65773626411290664</v>
          </cell>
          <cell r="D93">
            <v>-0.6586460972838144</v>
          </cell>
          <cell r="E93">
            <v>-0.65991527954416174</v>
          </cell>
          <cell r="G93">
            <v>100</v>
          </cell>
          <cell r="H93">
            <v>-0.30749092917114379</v>
          </cell>
          <cell r="I93">
            <v>-0.30694371556247119</v>
          </cell>
          <cell r="J93">
            <v>-0.30603388239156343</v>
          </cell>
          <cell r="K93">
            <v>-0.30476470013121615</v>
          </cell>
          <cell r="M93">
            <v>100</v>
          </cell>
          <cell r="N93">
            <v>1.0378547281610398E-2</v>
          </cell>
          <cell r="O93">
            <v>-0.79894535230302188</v>
          </cell>
          <cell r="P93">
            <v>-2.1413404002227585</v>
          </cell>
          <cell r="Q93">
            <v>4.4194522086213954</v>
          </cell>
          <cell r="S93">
            <v>100</v>
          </cell>
          <cell r="T93">
            <v>0.40192303307279759</v>
          </cell>
          <cell r="U93">
            <v>1.21124693265743</v>
          </cell>
          <cell r="Z93">
            <v>2.5536419805771668</v>
          </cell>
          <cell r="AA93">
            <v>4.4194522086213954</v>
          </cell>
          <cell r="AC93">
            <v>100</v>
          </cell>
          <cell r="AD93">
            <v>7.8986657696698104E-2</v>
          </cell>
          <cell r="AE93">
            <v>7.8844382158443221E-2</v>
          </cell>
          <cell r="AF93">
            <v>7.860782553400722E-2</v>
          </cell>
          <cell r="AG93">
            <v>7.8277838146316919E-2</v>
          </cell>
          <cell r="AI93">
            <v>100</v>
          </cell>
          <cell r="AJ93">
            <v>-7.8986657696698104E-2</v>
          </cell>
          <cell r="AK93">
            <v>-7.8844382158443221E-2</v>
          </cell>
          <cell r="AL93">
            <v>-7.860782553400722E-2</v>
          </cell>
          <cell r="AM93">
            <v>-7.8277838146316919E-2</v>
          </cell>
        </row>
        <row r="94">
          <cell r="A94">
            <v>212.5</v>
          </cell>
          <cell r="B94">
            <v>-0.51813061725686227</v>
          </cell>
          <cell r="C94">
            <v>-0.518928311313956</v>
          </cell>
          <cell r="D94">
            <v>-0.52025460967693038</v>
          </cell>
          <cell r="E94">
            <v>-0.52210474485339942</v>
          </cell>
          <cell r="G94">
            <v>212.5</v>
          </cell>
          <cell r="H94">
            <v>-0.44654936241851556</v>
          </cell>
          <cell r="I94">
            <v>-0.44575166836142188</v>
          </cell>
          <cell r="J94">
            <v>-0.44442536999844756</v>
          </cell>
          <cell r="K94">
            <v>-0.44257523482197852</v>
          </cell>
          <cell r="M94">
            <v>212.5</v>
          </cell>
          <cell r="N94">
            <v>-0.17287379899780272</v>
          </cell>
          <cell r="O94">
            <v>-1.3526559804544527</v>
          </cell>
          <cell r="P94">
            <v>-3.3095162175290862</v>
          </cell>
          <cell r="Q94">
            <v>6.4416802190425537</v>
          </cell>
          <cell r="S94">
            <v>212.5</v>
          </cell>
          <cell r="T94">
            <v>0.58517537935221076</v>
          </cell>
          <cell r="U94">
            <v>1.764957560808861</v>
          </cell>
          <cell r="Z94">
            <v>3.721817797883495</v>
          </cell>
          <cell r="AA94">
            <v>6.4416802190425537</v>
          </cell>
          <cell r="AC94">
            <v>212.5</v>
          </cell>
          <cell r="AD94">
            <v>2.5498541251989422E-2</v>
          </cell>
          <cell r="AE94">
            <v>2.5452611739497939E-2</v>
          </cell>
          <cell r="AF94">
            <v>2.5376246325103845E-2</v>
          </cell>
          <cell r="AG94">
            <v>2.5269719510790888E-2</v>
          </cell>
          <cell r="AI94">
            <v>212.5</v>
          </cell>
          <cell r="AJ94">
            <v>-2.5498541251989422E-2</v>
          </cell>
          <cell r="AK94">
            <v>-2.5452611739497939E-2</v>
          </cell>
          <cell r="AL94">
            <v>-2.5376246325103845E-2</v>
          </cell>
          <cell r="AM94">
            <v>-2.5269719510790888E-2</v>
          </cell>
        </row>
        <row r="95">
          <cell r="A95">
            <v>325</v>
          </cell>
          <cell r="B95">
            <v>-0.41330995625505856</v>
          </cell>
          <cell r="C95">
            <v>-0.41429645961740896</v>
          </cell>
          <cell r="D95">
            <v>-0.41593668469232187</v>
          </cell>
          <cell r="E95">
            <v>-0.41822473555111755</v>
          </cell>
          <cell r="G95">
            <v>325</v>
          </cell>
          <cell r="H95">
            <v>-0.55137002342031938</v>
          </cell>
          <cell r="I95">
            <v>-0.55038352005796898</v>
          </cell>
          <cell r="J95">
            <v>-0.54874329498305596</v>
          </cell>
          <cell r="K95">
            <v>-0.54645524412426039</v>
          </cell>
          <cell r="M95">
            <v>325</v>
          </cell>
          <cell r="N95">
            <v>-0.31100732760565925</v>
          </cell>
          <cell r="O95">
            <v>-1.7700367368110899</v>
          </cell>
          <cell r="P95">
            <v>-4.1900738254128642</v>
          </cell>
          <cell r="Q95">
            <v>7.9660126295165838</v>
          </cell>
          <cell r="S95">
            <v>325</v>
          </cell>
          <cell r="T95">
            <v>0.72330890796006719</v>
          </cell>
          <cell r="U95">
            <v>2.182338317165498</v>
          </cell>
          <cell r="Z95">
            <v>4.6023754057672726</v>
          </cell>
          <cell r="AA95">
            <v>7.9660126295165838</v>
          </cell>
          <cell r="AC95">
            <v>325</v>
          </cell>
          <cell r="AD95">
            <v>1.3481204468779524E-2</v>
          </cell>
          <cell r="AE95">
            <v>1.3456921309090899E-2</v>
          </cell>
          <cell r="AF95">
            <v>1.3416546538016119E-2</v>
          </cell>
          <cell r="AG95">
            <v>1.3360225286107301E-2</v>
          </cell>
          <cell r="AI95">
            <v>325</v>
          </cell>
          <cell r="AJ95">
            <v>-1.3481204468779524E-2</v>
          </cell>
          <cell r="AK95">
            <v>-1.3456921309090899E-2</v>
          </cell>
          <cell r="AL95">
            <v>-1.3416546538016119E-2</v>
          </cell>
          <cell r="AM95">
            <v>-1.3360225286107301E-2</v>
          </cell>
        </row>
        <row r="96">
          <cell r="A96">
            <v>437.5</v>
          </cell>
          <cell r="B96">
            <v>-0.32555139621886708</v>
          </cell>
          <cell r="C96">
            <v>-0.32669597559974678</v>
          </cell>
          <cell r="D96">
            <v>-0.32859902821202985</v>
          </cell>
          <cell r="E96">
            <v>-0.33125371337107667</v>
          </cell>
          <cell r="G96">
            <v>437.5</v>
          </cell>
          <cell r="H96">
            <v>-0.6391285834565108</v>
          </cell>
          <cell r="I96">
            <v>-0.63798400407563127</v>
          </cell>
          <cell r="J96">
            <v>-0.63608095146334809</v>
          </cell>
          <cell r="K96">
            <v>-0.63342626630430121</v>
          </cell>
          <cell r="M96">
            <v>437.5</v>
          </cell>
          <cell r="N96">
            <v>-0.4266562793245855</v>
          </cell>
          <cell r="O96">
            <v>-2.1194786675774351</v>
          </cell>
          <cell r="P96">
            <v>-4.9272993586067804</v>
          </cell>
          <cell r="Q96">
            <v>9.2422230262187739</v>
          </cell>
          <cell r="S96">
            <v>437.5</v>
          </cell>
          <cell r="T96">
            <v>0.8389578596789935</v>
          </cell>
          <cell r="U96">
            <v>2.5317802479318434</v>
          </cell>
          <cell r="Z96">
            <v>5.3396009389611887</v>
          </cell>
          <cell r="AA96">
            <v>9.2422230262187739</v>
          </cell>
          <cell r="AC96">
            <v>437.5</v>
          </cell>
          <cell r="AD96">
            <v>8.6315074774671059E-3</v>
          </cell>
          <cell r="AE96">
            <v>8.6159598848974429E-3</v>
          </cell>
          <cell r="AF96">
            <v>8.5901094396171242E-3</v>
          </cell>
          <cell r="AG96">
            <v>8.5540490632526021E-3</v>
          </cell>
          <cell r="AI96">
            <v>437.5</v>
          </cell>
          <cell r="AJ96">
            <v>-8.6315074774671059E-3</v>
          </cell>
          <cell r="AK96">
            <v>-8.6159598848974429E-3</v>
          </cell>
          <cell r="AL96">
            <v>-8.5901094396171242E-3</v>
          </cell>
          <cell r="AM96">
            <v>-8.5540490632526021E-3</v>
          </cell>
        </row>
        <row r="97">
          <cell r="A97">
            <v>550</v>
          </cell>
          <cell r="B97">
            <v>-0.24852184149851225</v>
          </cell>
          <cell r="C97">
            <v>-0.24980517116556628</v>
          </cell>
          <cell r="D97">
            <v>-0.25193891908738408</v>
          </cell>
          <cell r="E97">
            <v>-0.25491541532539475</v>
          </cell>
          <cell r="G97">
            <v>550</v>
          </cell>
          <cell r="H97">
            <v>-0.71615813817686558</v>
          </cell>
          <cell r="I97">
            <v>-0.71487480850981155</v>
          </cell>
          <cell r="J97">
            <v>-0.7127410605879938</v>
          </cell>
          <cell r="K97">
            <v>-0.70976456434998314</v>
          </cell>
          <cell r="M97">
            <v>550</v>
          </cell>
          <cell r="N97">
            <v>-0.52816645965469688</v>
          </cell>
          <cell r="O97">
            <v>-2.4261992463614543</v>
          </cell>
          <cell r="P97">
            <v>-5.5743946906972841</v>
          </cell>
          <cell r="Q97">
            <v>10.362409120280891</v>
          </cell>
          <cell r="S97">
            <v>550</v>
          </cell>
          <cell r="T97">
            <v>0.94046804000910489</v>
          </cell>
          <cell r="U97">
            <v>2.8385008267158622</v>
          </cell>
          <cell r="Z97">
            <v>5.9866962710516933</v>
          </cell>
          <cell r="AA97">
            <v>10.362409120280891</v>
          </cell>
          <cell r="AC97">
            <v>550</v>
          </cell>
          <cell r="AD97">
            <v>6.1236407285350696E-3</v>
          </cell>
          <cell r="AE97">
            <v>6.1126104570165896E-3</v>
          </cell>
          <cell r="AF97">
            <v>6.0942708054571634E-3</v>
          </cell>
          <cell r="AG97">
            <v>6.0686876972957495E-3</v>
          </cell>
          <cell r="AI97">
            <v>550</v>
          </cell>
          <cell r="AJ97">
            <v>-6.1236407285350696E-3</v>
          </cell>
          <cell r="AK97">
            <v>-6.1126104570165896E-3</v>
          </cell>
          <cell r="AL97">
            <v>-6.0942708054571634E-3</v>
          </cell>
          <cell r="AM97">
            <v>-6.0686876972957495E-3</v>
          </cell>
        </row>
        <row r="98">
          <cell r="A98">
            <v>662.5</v>
          </cell>
          <cell r="B98">
            <v>-0.17904406691658437</v>
          </cell>
          <cell r="C98">
            <v>-0.18045254414733633</v>
          </cell>
          <cell r="D98">
            <v>-0.18279437060175327</v>
          </cell>
          <cell r="E98">
            <v>-0.18606112838526256</v>
          </cell>
          <cell r="G98">
            <v>662.5</v>
          </cell>
          <cell r="H98">
            <v>-0.78563591275879352</v>
          </cell>
          <cell r="I98">
            <v>-0.78422743552804164</v>
          </cell>
          <cell r="J98">
            <v>-0.7818856090736247</v>
          </cell>
          <cell r="K98">
            <v>-0.77861885129011521</v>
          </cell>
          <cell r="M98">
            <v>662.5</v>
          </cell>
          <cell r="N98">
            <v>-0.6197248420489635</v>
          </cell>
          <cell r="O98">
            <v>-2.7028497256451325</v>
          </cell>
          <cell r="P98">
            <v>-6.1580504547636652</v>
          </cell>
          <cell r="Q98">
            <v>11.372775040421571</v>
          </cell>
          <cell r="S98">
            <v>662.5</v>
          </cell>
          <cell r="T98">
            <v>1.0320264224033713</v>
          </cell>
          <cell r="U98">
            <v>3.1151513059995413</v>
          </cell>
          <cell r="Z98">
            <v>6.5703520351180726</v>
          </cell>
          <cell r="AA98">
            <v>11.372775040421571</v>
          </cell>
          <cell r="AC98">
            <v>662.5</v>
          </cell>
          <cell r="AD98">
            <v>4.6320678602659914E-3</v>
          </cell>
          <cell r="AE98">
            <v>4.6237242998816153E-3</v>
          </cell>
          <cell r="AF98">
            <v>4.6098517501480816E-3</v>
          </cell>
          <cell r="AG98">
            <v>4.5905000771265091E-3</v>
          </cell>
          <cell r="AI98">
            <v>662.5</v>
          </cell>
          <cell r="AJ98">
            <v>-4.6320678602659914E-3</v>
          </cell>
          <cell r="AK98">
            <v>-4.6237242998816153E-3</v>
          </cell>
          <cell r="AL98">
            <v>-4.6098517501480816E-3</v>
          </cell>
          <cell r="AM98">
            <v>-4.5905000771265091E-3</v>
          </cell>
        </row>
        <row r="99">
          <cell r="A99">
            <v>775</v>
          </cell>
          <cell r="B99">
            <v>-0.11525485344782382</v>
          </cell>
          <cell r="C99">
            <v>-0.11677823166243527</v>
          </cell>
          <cell r="D99">
            <v>-0.11931110001498567</v>
          </cell>
          <cell r="E99">
            <v>-0.12284435389453449</v>
          </cell>
          <cell r="G99">
            <v>775</v>
          </cell>
          <cell r="H99">
            <v>-0.84942512622755417</v>
          </cell>
          <cell r="I99">
            <v>-0.8479017480129426</v>
          </cell>
          <cell r="J99">
            <v>-0.84536887966039231</v>
          </cell>
          <cell r="K99">
            <v>-0.84183562578084348</v>
          </cell>
          <cell r="M99">
            <v>775</v>
          </cell>
          <cell r="N99">
            <v>-0.70378679185300153</v>
          </cell>
          <cell r="O99">
            <v>-2.956849174899971</v>
          </cell>
          <cell r="P99">
            <v>-6.6939188292234739</v>
          </cell>
          <cell r="Q99">
            <v>12.300416257332088</v>
          </cell>
          <cell r="S99">
            <v>775</v>
          </cell>
          <cell r="T99">
            <v>1.1160883722074095</v>
          </cell>
          <cell r="U99">
            <v>3.3691507552543793</v>
          </cell>
          <cell r="Z99">
            <v>7.1062204095778814</v>
          </cell>
          <cell r="AA99">
            <v>12.300416257332088</v>
          </cell>
          <cell r="AC99">
            <v>775</v>
          </cell>
          <cell r="AD99">
            <v>3.6610122610841178E-3</v>
          </cell>
          <cell r="AE99">
            <v>3.654417824692043E-3</v>
          </cell>
          <cell r="AF99">
            <v>3.6434534830202332E-3</v>
          </cell>
          <cell r="AG99">
            <v>3.6281586483283257E-3</v>
          </cell>
          <cell r="AI99">
            <v>775</v>
          </cell>
          <cell r="AJ99">
            <v>-3.6610122610841178E-3</v>
          </cell>
          <cell r="AK99">
            <v>-3.654417824692043E-3</v>
          </cell>
          <cell r="AL99">
            <v>-3.6434534830202332E-3</v>
          </cell>
          <cell r="AM99">
            <v>-3.6281586483283257E-3</v>
          </cell>
        </row>
        <row r="100">
          <cell r="A100">
            <v>887.5</v>
          </cell>
          <cell r="B100">
            <v>-5.5950564872422032E-2</v>
          </cell>
          <cell r="C100">
            <v>-5.7580765553307316E-2</v>
          </cell>
          <cell r="D100">
            <v>-6.0291243931766589E-2</v>
          </cell>
          <cell r="E100">
            <v>-6.4072256962499949E-2</v>
          </cell>
          <cell r="G100">
            <v>887.5</v>
          </cell>
          <cell r="H100">
            <v>-0.90872941480295599</v>
          </cell>
          <cell r="I100">
            <v>-0.90709921412207051</v>
          </cell>
          <cell r="J100">
            <v>-0.90438873574361123</v>
          </cell>
          <cell r="K100">
            <v>-0.90060772271287803</v>
          </cell>
          <cell r="M100">
            <v>887.5</v>
          </cell>
          <cell r="N100">
            <v>-0.78193847077017475</v>
          </cell>
          <cell r="O100">
            <v>-3.1929902999818625</v>
          </cell>
          <cell r="P100">
            <v>-7.1921110938601807</v>
          </cell>
          <cell r="Q100">
            <v>13.16283639751833</v>
          </cell>
          <cell r="S100">
            <v>887.5</v>
          </cell>
          <cell r="T100">
            <v>1.1942400511245828</v>
          </cell>
          <cell r="U100">
            <v>3.6052918803362708</v>
          </cell>
          <cell r="Z100">
            <v>7.6044126742145899</v>
          </cell>
          <cell r="AA100">
            <v>13.16283639751833</v>
          </cell>
          <cell r="AC100">
            <v>887.5</v>
          </cell>
          <cell r="AD100">
            <v>2.9874537777230758E-3</v>
          </cell>
          <cell r="AE100">
            <v>2.9820725955509012E-3</v>
          </cell>
          <cell r="AF100">
            <v>2.9731254897747529E-3</v>
          </cell>
          <cell r="AG100">
            <v>2.9606446215280956E-3</v>
          </cell>
          <cell r="AI100">
            <v>887.5</v>
          </cell>
          <cell r="AJ100">
            <v>-2.9874537777230758E-3</v>
          </cell>
          <cell r="AK100">
            <v>-2.9820725955509012E-3</v>
          </cell>
          <cell r="AL100">
            <v>-2.9731254897747529E-3</v>
          </cell>
          <cell r="AM100">
            <v>-2.9606446215280956E-3</v>
          </cell>
        </row>
        <row r="101">
          <cell r="A101">
            <v>1000</v>
          </cell>
          <cell r="B101">
            <v>-3.0026054678330641E-4</v>
          </cell>
          <cell r="C101">
            <v>-2.0307019168288322E-3</v>
          </cell>
          <cell r="D101">
            <v>-4.9078470276704422E-3</v>
          </cell>
          <cell r="E101">
            <v>-8.9213537362486765E-3</v>
          </cell>
          <cell r="G101">
            <v>1000</v>
          </cell>
          <cell r="H101">
            <v>-0.96437971912859466</v>
          </cell>
          <cell r="I101">
            <v>-0.96264927775854914</v>
          </cell>
          <cell r="J101">
            <v>-0.95977213264770744</v>
          </cell>
          <cell r="K101">
            <v>-0.95575862593912919</v>
          </cell>
          <cell r="M101">
            <v>1000</v>
          </cell>
          <cell r="N101">
            <v>-0.85527489921026301</v>
          </cell>
          <cell r="O101">
            <v>-3.4145817867071022</v>
          </cell>
          <cell r="P101">
            <v>-7.6596076578643455</v>
          </cell>
          <cell r="Q101">
            <v>13.972119240476687</v>
          </cell>
          <cell r="S101">
            <v>1000</v>
          </cell>
          <cell r="T101">
            <v>1.2675764795646709</v>
          </cell>
          <cell r="U101">
            <v>3.8268833670615106</v>
          </cell>
          <cell r="Z101">
            <v>8.0719092382187529</v>
          </cell>
          <cell r="AA101">
            <v>13.972119240476687</v>
          </cell>
          <cell r="AC101">
            <v>1000</v>
          </cell>
          <cell r="AD101">
            <v>2.4977774308563546E-3</v>
          </cell>
          <cell r="AE101">
            <v>2.493278283294236E-3</v>
          </cell>
          <cell r="AF101">
            <v>2.4857977060060476E-3</v>
          </cell>
          <cell r="AG101">
            <v>2.4753625885637442E-3</v>
          </cell>
          <cell r="AI101">
            <v>1000</v>
          </cell>
          <cell r="AJ101">
            <v>-2.4977774308563546E-3</v>
          </cell>
          <cell r="AK101">
            <v>-2.493278283294236E-3</v>
          </cell>
          <cell r="AL101">
            <v>-2.4857977060060476E-3</v>
          </cell>
          <cell r="AM101">
            <v>-2.4753625885637442E-3</v>
          </cell>
        </row>
        <row r="102">
          <cell r="A102">
            <v>1200</v>
          </cell>
          <cell r="B102">
            <v>9.1392298744869288E-2</v>
          </cell>
          <cell r="C102">
            <v>8.9496695199241139E-2</v>
          </cell>
          <cell r="D102">
            <v>8.6344940642393772E-2</v>
          </cell>
          <cell r="E102">
            <v>8.1948364324420597E-2</v>
          </cell>
          <cell r="G102">
            <v>1200</v>
          </cell>
          <cell r="H102">
            <v>-1.056072278420247</v>
          </cell>
          <cell r="I102">
            <v>-1.0541766748746191</v>
          </cell>
          <cell r="J102">
            <v>-1.0510249203177715</v>
          </cell>
          <cell r="K102">
            <v>-1.0466283439997983</v>
          </cell>
          <cell r="M102">
            <v>1200</v>
          </cell>
          <cell r="N102">
            <v>-0.97610810748227639</v>
          </cell>
          <cell r="O102">
            <v>-3.7796883352029864</v>
          </cell>
          <cell r="P102">
            <v>-8.4298811888546687</v>
          </cell>
          <cell r="Q102">
            <v>15.305538993717629</v>
          </cell>
          <cell r="S102">
            <v>1200</v>
          </cell>
          <cell r="T102">
            <v>1.3884096878366843</v>
          </cell>
          <cell r="U102">
            <v>4.1919899155573948</v>
          </cell>
          <cell r="Z102">
            <v>8.8421827692090762</v>
          </cell>
          <cell r="AA102">
            <v>15.305538993717629</v>
          </cell>
          <cell r="AC102">
            <v>1200</v>
          </cell>
          <cell r="AD102">
            <v>1.9001236701490629E-3</v>
          </cell>
          <cell r="AE102">
            <v>1.8967010526361231E-3</v>
          </cell>
          <cell r="AF102">
            <v>1.8910103846862597E-3</v>
          </cell>
          <cell r="AG102">
            <v>1.8830721218899191E-3</v>
          </cell>
          <cell r="AI102">
            <v>1200</v>
          </cell>
          <cell r="AJ102">
            <v>-1.9001236701490629E-3</v>
          </cell>
          <cell r="AK102">
            <v>-1.8967010526361231E-3</v>
          </cell>
          <cell r="AL102">
            <v>-1.8910103846862597E-3</v>
          </cell>
          <cell r="AM102">
            <v>-1.8830721218899191E-3</v>
          </cell>
        </row>
        <row r="103">
          <cell r="A103">
            <v>1400</v>
          </cell>
          <cell r="B103">
            <v>0.17571230922937089</v>
          </cell>
          <cell r="C103">
            <v>0.17366482338833791</v>
          </cell>
          <cell r="D103">
            <v>0.17026053938367894</v>
          </cell>
          <cell r="E103">
            <v>0.16551169420408812</v>
          </cell>
          <cell r="G103">
            <v>1400</v>
          </cell>
          <cell r="H103">
            <v>-1.1403922889047489</v>
          </cell>
          <cell r="I103">
            <v>-1.1383448030637158</v>
          </cell>
          <cell r="J103">
            <v>-1.1349405190590567</v>
          </cell>
          <cell r="K103">
            <v>-1.130191673879466</v>
          </cell>
          <cell r="M103">
            <v>1400</v>
          </cell>
          <cell r="N103">
            <v>-1.0872257103399345</v>
          </cell>
          <cell r="O103">
            <v>-4.1154384575134655</v>
          </cell>
          <cell r="P103">
            <v>-9.1382208045311053</v>
          </cell>
          <cell r="Q103">
            <v>16.531745006965572</v>
          </cell>
          <cell r="S103">
            <v>1400</v>
          </cell>
          <cell r="T103">
            <v>1.4995272906943424</v>
          </cell>
          <cell r="U103">
            <v>4.5277400378678738</v>
          </cell>
          <cell r="Z103">
            <v>9.5505223848855127</v>
          </cell>
          <cell r="AA103">
            <v>16.531745006965572</v>
          </cell>
          <cell r="AC103">
            <v>1400</v>
          </cell>
          <cell r="AD103">
            <v>1.507862302180793E-3</v>
          </cell>
          <cell r="AE103">
            <v>1.5051462495345245E-3</v>
          </cell>
          <cell r="AF103">
            <v>1.5006303625895688E-3</v>
          </cell>
          <cell r="AG103">
            <v>1.49433087408603E-3</v>
          </cell>
          <cell r="AI103">
            <v>1400</v>
          </cell>
          <cell r="AJ103">
            <v>-1.507862302180793E-3</v>
          </cell>
          <cell r="AK103">
            <v>-1.5051462495345245E-3</v>
          </cell>
          <cell r="AL103">
            <v>-1.5006303625895688E-3</v>
          </cell>
          <cell r="AM103">
            <v>-1.49433087408603E-3</v>
          </cell>
        </row>
        <row r="104">
          <cell r="A104">
            <v>1600</v>
          </cell>
          <cell r="B104">
            <v>0.25419546138074467</v>
          </cell>
          <cell r="C104">
            <v>0.25200660694605431</v>
          </cell>
          <cell r="D104">
            <v>0.24836727426242333</v>
          </cell>
          <cell r="E104">
            <v>0.24329054522103419</v>
          </cell>
          <cell r="G104">
            <v>1600</v>
          </cell>
          <cell r="H104">
            <v>-1.2188754410561224</v>
          </cell>
          <cell r="I104">
            <v>-1.2166865866214323</v>
          </cell>
          <cell r="J104">
            <v>-1.2130472539378012</v>
          </cell>
          <cell r="K104">
            <v>-1.2079705248964121</v>
          </cell>
          <cell r="M104">
            <v>1600</v>
          </cell>
          <cell r="N104">
            <v>-1.1906514533120192</v>
          </cell>
          <cell r="O104">
            <v>-4.4279470516505484</v>
          </cell>
          <cell r="P104">
            <v>-9.797527243329494</v>
          </cell>
          <cell r="Q104">
            <v>17.673069735860814</v>
          </cell>
          <cell r="S104">
            <v>1600</v>
          </cell>
          <cell r="T104">
            <v>1.6029530336664273</v>
          </cell>
          <cell r="U104">
            <v>4.8402486320049567</v>
          </cell>
          <cell r="Z104">
            <v>10.209828823683901</v>
          </cell>
          <cell r="AA104">
            <v>17.673069735860814</v>
          </cell>
          <cell r="AC104">
            <v>1600</v>
          </cell>
          <cell r="AD104">
            <v>1.2341665265109083E-3</v>
          </cell>
          <cell r="AE104">
            <v>1.2319434712256758E-3</v>
          </cell>
          <cell r="AF104">
            <v>1.2282472739688632E-3</v>
          </cell>
          <cell r="AG104">
            <v>1.2230912210362023E-3</v>
          </cell>
          <cell r="AI104">
            <v>1600</v>
          </cell>
          <cell r="AJ104">
            <v>-1.2341665265109083E-3</v>
          </cell>
          <cell r="AK104">
            <v>-1.2319434712256758E-3</v>
          </cell>
          <cell r="AL104">
            <v>-1.2282472739688632E-3</v>
          </cell>
          <cell r="AM104">
            <v>-1.2230912210362023E-3</v>
          </cell>
        </row>
        <row r="105">
          <cell r="A105">
            <v>1800</v>
          </cell>
          <cell r="B105">
            <v>0.32790844944529324</v>
          </cell>
          <cell r="C105">
            <v>0.32558681872459361</v>
          </cell>
          <cell r="D105">
            <v>0.32172672349520964</v>
          </cell>
          <cell r="E105">
            <v>0.31634203919809023</v>
          </cell>
          <cell r="G105">
            <v>1800</v>
          </cell>
          <cell r="H105">
            <v>-1.2925884291206711</v>
          </cell>
          <cell r="I105">
            <v>-1.2902667983999712</v>
          </cell>
          <cell r="J105">
            <v>-1.2864067031705875</v>
          </cell>
          <cell r="K105">
            <v>-1.281022018873468</v>
          </cell>
          <cell r="M105">
            <v>1800</v>
          </cell>
          <cell r="N105">
            <v>-1.2877910348436572</v>
          </cell>
          <cell r="O105">
            <v>-4.7214615402794617</v>
          </cell>
          <cell r="P105">
            <v>-10.416761388771176</v>
          </cell>
          <cell r="Q105">
            <v>18.745025357069341</v>
          </cell>
          <cell r="S105">
            <v>1800</v>
          </cell>
          <cell r="T105">
            <v>1.7000926151980653</v>
          </cell>
          <cell r="U105">
            <v>5.1337631206338692</v>
          </cell>
          <cell r="Z105">
            <v>10.829062969125584</v>
          </cell>
          <cell r="AA105">
            <v>18.745025357069341</v>
          </cell>
          <cell r="AC105">
            <v>1800</v>
          </cell>
          <cell r="AD105">
            <v>1.0342963200110338E-3</v>
          </cell>
          <cell r="AE105">
            <v>1.0324332830129413E-3</v>
          </cell>
          <cell r="AF105">
            <v>1.0293356757301024E-3</v>
          </cell>
          <cell r="AG105">
            <v>1.0250146327756239E-3</v>
          </cell>
          <cell r="AI105">
            <v>1800</v>
          </cell>
          <cell r="AJ105">
            <v>-1.0342963200110338E-3</v>
          </cell>
          <cell r="AK105">
            <v>-1.0324332830129413E-3</v>
          </cell>
          <cell r="AL105">
            <v>-1.0293356757301024E-3</v>
          </cell>
          <cell r="AM105">
            <v>-1.0250146327756239E-3</v>
          </cell>
        </row>
        <row r="106">
          <cell r="A106">
            <v>2000</v>
          </cell>
          <cell r="B106">
            <v>0.39762792701095789</v>
          </cell>
          <cell r="C106">
            <v>0.39518071335654825</v>
          </cell>
          <cell r="D106">
            <v>0.39111181571988041</v>
          </cell>
          <cell r="E106">
            <v>0.38543586009993375</v>
          </cell>
          <cell r="G106">
            <v>2000</v>
          </cell>
          <cell r="H106">
            <v>-1.3623079066863359</v>
          </cell>
          <cell r="I106">
            <v>-1.3598606930319261</v>
          </cell>
          <cell r="J106">
            <v>-1.3557917953952585</v>
          </cell>
          <cell r="K106">
            <v>-1.3501158397753117</v>
          </cell>
          <cell r="M106">
            <v>2000</v>
          </cell>
          <cell r="N106">
            <v>-1.379667935416492</v>
          </cell>
          <cell r="O106">
            <v>-4.999074445989395</v>
          </cell>
          <cell r="P106">
            <v>-11.002447605604631</v>
          </cell>
          <cell r="Q106">
            <v>19.7589061920016</v>
          </cell>
          <cell r="S106">
            <v>2000</v>
          </cell>
          <cell r="T106">
            <v>1.7919695157709004</v>
          </cell>
          <cell r="U106">
            <v>5.4113760263438033</v>
          </cell>
          <cell r="Z106">
            <v>11.414749185959039</v>
          </cell>
          <cell r="AA106">
            <v>19.7589061920016</v>
          </cell>
          <cell r="AC106">
            <v>2000</v>
          </cell>
          <cell r="AD106">
            <v>8.8309767962662104E-4</v>
          </cell>
          <cell r="AE106">
            <v>8.8150699075125469E-4</v>
          </cell>
          <cell r="AF106">
            <v>8.7886220728742063E-4</v>
          </cell>
          <cell r="AG106">
            <v>8.7517283613445531E-4</v>
          </cell>
          <cell r="AI106">
            <v>2000</v>
          </cell>
          <cell r="AJ106">
            <v>-8.8309767962662104E-4</v>
          </cell>
          <cell r="AK106">
            <v>-8.8150699075125469E-4</v>
          </cell>
          <cell r="AL106">
            <v>-8.7886220728742063E-4</v>
          </cell>
          <cell r="AM106">
            <v>-8.7517283613445531E-4</v>
          </cell>
        </row>
        <row r="107">
          <cell r="A107">
            <v>2200</v>
          </cell>
          <cell r="B107">
            <v>0.46394020480220249</v>
          </cell>
          <cell r="C107">
            <v>0.4613735454680945</v>
          </cell>
          <cell r="D107">
            <v>0.45710604962445883</v>
          </cell>
          <cell r="E107">
            <v>0.45115305714843756</v>
          </cell>
          <cell r="G107">
            <v>2200</v>
          </cell>
          <cell r="H107">
            <v>-1.4286201844775803</v>
          </cell>
          <cell r="I107">
            <v>-1.4260535251434723</v>
          </cell>
          <cell r="J107">
            <v>-1.4217860292998368</v>
          </cell>
          <cell r="K107">
            <v>-1.4158330368238154</v>
          </cell>
          <cell r="M107">
            <v>2200</v>
          </cell>
          <cell r="N107">
            <v>-1.4670548001222141</v>
          </cell>
          <cell r="O107">
            <v>-5.2631203735357284</v>
          </cell>
          <cell r="P107">
            <v>-11.559511262207387</v>
          </cell>
          <cell r="Q107">
            <v>20.723238541020194</v>
          </cell>
          <cell r="S107">
            <v>2200</v>
          </cell>
          <cell r="T107">
            <v>1.8793563804766225</v>
          </cell>
          <cell r="U107">
            <v>5.6754219538901367</v>
          </cell>
          <cell r="Z107">
            <v>11.971812842561796</v>
          </cell>
          <cell r="AA107">
            <v>20.723238541020194</v>
          </cell>
          <cell r="AC107">
            <v>2200</v>
          </cell>
          <cell r="AD107">
            <v>7.6545509106688348E-4</v>
          </cell>
          <cell r="AE107">
            <v>7.6407630712707348E-4</v>
          </cell>
          <cell r="AF107">
            <v>7.617838506821452E-4</v>
          </cell>
          <cell r="AG107">
            <v>7.5858596216196847E-4</v>
          </cell>
          <cell r="AI107">
            <v>2200</v>
          </cell>
          <cell r="AJ107">
            <v>-7.6545509106688348E-4</v>
          </cell>
          <cell r="AK107">
            <v>-7.6407630712707348E-4</v>
          </cell>
          <cell r="AL107">
            <v>-7.617838506821452E-4</v>
          </cell>
          <cell r="AM107">
            <v>-7.5858596216196847E-4</v>
          </cell>
        </row>
        <row r="108">
          <cell r="A108">
            <v>2400</v>
          </cell>
          <cell r="B108">
            <v>0.52730078792991253</v>
          </cell>
          <cell r="C108">
            <v>0.52461999968680251</v>
          </cell>
          <cell r="D108">
            <v>0.52016274564723786</v>
          </cell>
          <cell r="E108">
            <v>0.51394504779035155</v>
          </cell>
          <cell r="G108">
            <v>2400</v>
          </cell>
          <cell r="H108">
            <v>-1.4919807676052901</v>
          </cell>
          <cell r="I108">
            <v>-1.4892999793621804</v>
          </cell>
          <cell r="J108">
            <v>-1.4848427253226157</v>
          </cell>
          <cell r="K108">
            <v>-1.4786250274657293</v>
          </cell>
          <cell r="M108">
            <v>2400</v>
          </cell>
          <cell r="N108">
            <v>-1.550551897339826</v>
          </cell>
          <cell r="O108">
            <v>-5.5154130785835056</v>
          </cell>
          <cell r="P108">
            <v>-12.09177887986816</v>
          </cell>
          <cell r="Q108">
            <v>21.64464649137113</v>
          </cell>
          <cell r="S108">
            <v>2400</v>
          </cell>
          <cell r="T108">
            <v>1.9628534776942341</v>
          </cell>
          <cell r="U108">
            <v>5.9277146589379139</v>
          </cell>
          <cell r="Z108">
            <v>12.504080460222566</v>
          </cell>
          <cell r="AA108">
            <v>21.64464649137113</v>
          </cell>
          <cell r="AC108">
            <v>2400</v>
          </cell>
          <cell r="AD108">
            <v>6.7179516612773569E-4</v>
          </cell>
          <cell r="AE108">
            <v>6.7058508810133191E-4</v>
          </cell>
          <cell r="AF108">
            <v>6.6857313315291729E-4</v>
          </cell>
          <cell r="AG108">
            <v>6.6576653342585062E-4</v>
          </cell>
          <cell r="AI108">
            <v>2400</v>
          </cell>
          <cell r="AJ108">
            <v>-6.7179516612773569E-4</v>
          </cell>
          <cell r="AK108">
            <v>-6.7058508810133191E-4</v>
          </cell>
          <cell r="AL108">
            <v>-6.6857313315291729E-4</v>
          </cell>
          <cell r="AM108">
            <v>-6.6576653342585062E-4</v>
          </cell>
        </row>
        <row r="109">
          <cell r="A109">
            <v>2600</v>
          </cell>
          <cell r="B109">
            <v>0.58807191569668715</v>
          </cell>
          <cell r="C109">
            <v>0.58528166282796223</v>
          </cell>
          <cell r="D109">
            <v>0.5806424057353895</v>
          </cell>
          <cell r="E109">
            <v>0.57417082062357294</v>
          </cell>
          <cell r="G109">
            <v>2600</v>
          </cell>
          <cell r="H109">
            <v>-1.5527518953720649</v>
          </cell>
          <cell r="I109">
            <v>-1.5499616425033398</v>
          </cell>
          <cell r="J109">
            <v>-1.5453223854107672</v>
          </cell>
          <cell r="K109">
            <v>-1.5388508002989507</v>
          </cell>
          <cell r="M109">
            <v>2600</v>
          </cell>
          <cell r="N109">
            <v>-1.6306365889996033</v>
          </cell>
          <cell r="O109">
            <v>-5.7573949457986515</v>
          </cell>
          <cell r="P109">
            <v>-12.602293490091707</v>
          </cell>
          <cell r="Q109">
            <v>22.528397831904645</v>
          </cell>
          <cell r="S109">
            <v>2600</v>
          </cell>
          <cell r="T109">
            <v>2.0429381693540116</v>
          </cell>
          <cell r="U109">
            <v>6.1696965261530599</v>
          </cell>
          <cell r="Z109">
            <v>13.014595070446116</v>
          </cell>
          <cell r="AA109">
            <v>22.528397831904645</v>
          </cell>
          <cell r="AC109">
            <v>2600</v>
          </cell>
          <cell r="AD109">
            <v>5.9579069365227452E-4</v>
          </cell>
          <cell r="AE109">
            <v>5.9471751947199562E-4</v>
          </cell>
          <cell r="AF109">
            <v>5.9293318982100616E-4</v>
          </cell>
          <cell r="AG109">
            <v>5.9044411862415366E-4</v>
          </cell>
          <cell r="AI109">
            <v>2600</v>
          </cell>
          <cell r="AJ109">
            <v>-5.9579069365227452E-4</v>
          </cell>
          <cell r="AK109">
            <v>-5.9471751947199562E-4</v>
          </cell>
          <cell r="AL109">
            <v>-5.9293318982100616E-4</v>
          </cell>
          <cell r="AM109">
            <v>-5.9044411862415366E-4</v>
          </cell>
        </row>
        <row r="110">
          <cell r="A110">
            <v>2800</v>
          </cell>
          <cell r="B110">
            <v>0.64654729033653591</v>
          </cell>
          <cell r="C110">
            <v>0.64365170809138006</v>
          </cell>
          <cell r="D110">
            <v>0.63883732348182165</v>
          </cell>
          <cell r="E110">
            <v>0.6321214422232343</v>
          </cell>
          <cell r="G110">
            <v>2800</v>
          </cell>
          <cell r="H110">
            <v>-1.6112272700119141</v>
          </cell>
          <cell r="I110">
            <v>-1.6083316877667582</v>
          </cell>
          <cell r="J110">
            <v>-1.6035173031571999</v>
          </cell>
          <cell r="K110">
            <v>-1.5968014218986124</v>
          </cell>
          <cell r="M110">
            <v>2800</v>
          </cell>
          <cell r="N110">
            <v>-1.7076959183195142</v>
          </cell>
          <cell r="O110">
            <v>-5.9902354551234094</v>
          </cell>
          <cell r="P110">
            <v>-13.093522371123921</v>
          </cell>
          <cell r="Q110">
            <v>23.378763665569814</v>
          </cell>
          <cell r="S110">
            <v>2800</v>
          </cell>
          <cell r="T110">
            <v>2.1199974986739223</v>
          </cell>
          <cell r="U110">
            <v>6.4025370354778177</v>
          </cell>
          <cell r="Z110">
            <v>13.50582395147833</v>
          </cell>
          <cell r="AA110">
            <v>23.378763665569814</v>
          </cell>
          <cell r="AC110">
            <v>2800</v>
          </cell>
          <cell r="AD110">
            <v>5.3310982948379928E-4</v>
          </cell>
          <cell r="AE110">
            <v>5.3214955986168131E-4</v>
          </cell>
          <cell r="AF110">
            <v>5.3055295272075634E-4</v>
          </cell>
          <cell r="AG110">
            <v>5.2832574720132681E-4</v>
          </cell>
          <cell r="AI110">
            <v>2800</v>
          </cell>
          <cell r="AJ110">
            <v>-5.3310982948379928E-4</v>
          </cell>
          <cell r="AK110">
            <v>-5.3214955986168131E-4</v>
          </cell>
          <cell r="AL110">
            <v>-5.3055295272075634E-4</v>
          </cell>
          <cell r="AM110">
            <v>-5.2832574720132681E-4</v>
          </cell>
        </row>
        <row r="111">
          <cell r="A111">
            <v>3000</v>
          </cell>
          <cell r="B111">
            <v>0.70296896460156644</v>
          </cell>
          <cell r="C111">
            <v>0.69997175222912844</v>
          </cell>
          <cell r="D111">
            <v>0.69498839071640228</v>
          </cell>
          <cell r="E111">
            <v>0.68803679318062638</v>
          </cell>
          <cell r="G111">
            <v>3000</v>
          </cell>
          <cell r="H111">
            <v>-1.6676489442769442</v>
          </cell>
          <cell r="I111">
            <v>-1.6646517319045067</v>
          </cell>
          <cell r="J111">
            <v>-1.6596683703917798</v>
          </cell>
          <cell r="K111">
            <v>-1.6527167728560042</v>
          </cell>
          <cell r="M111">
            <v>3000</v>
          </cell>
          <cell r="N111">
            <v>-1.7820488644057595</v>
          </cell>
          <cell r="O111">
            <v>-6.2148984257112492</v>
          </cell>
          <cell r="P111">
            <v>-13.56749891399993</v>
          </cell>
          <cell r="Q111">
            <v>24.199263993591156</v>
          </cell>
          <cell r="S111">
            <v>3000</v>
          </cell>
          <cell r="T111">
            <v>2.1943504447601674</v>
          </cell>
          <cell r="U111">
            <v>6.6272000060656575</v>
          </cell>
          <cell r="Z111">
            <v>13.979800494354336</v>
          </cell>
          <cell r="AA111">
            <v>24.199263993591156</v>
          </cell>
          <cell r="AC111">
            <v>3000</v>
          </cell>
          <cell r="AD111">
            <v>4.806974906935627E-4</v>
          </cell>
          <cell r="AE111">
            <v>4.7983162934152508E-4</v>
          </cell>
          <cell r="AF111">
            <v>4.7839199157118198E-4</v>
          </cell>
          <cell r="AG111">
            <v>4.7638375228306888E-4</v>
          </cell>
          <cell r="AI111">
            <v>3000</v>
          </cell>
          <cell r="AJ111">
            <v>-4.806974906935627E-4</v>
          </cell>
          <cell r="AK111">
            <v>-4.7983162934152508E-4</v>
          </cell>
          <cell r="AL111">
            <v>-4.7839199157118198E-4</v>
          </cell>
          <cell r="AM111">
            <v>-4.7638375228306888E-4</v>
          </cell>
        </row>
        <row r="112">
          <cell r="A112">
            <v>3200</v>
          </cell>
          <cell r="B112">
            <v>0.75753922852679989</v>
          </cell>
          <cell r="C112">
            <v>0.75444372089920042</v>
          </cell>
          <cell r="D112">
            <v>0.74929692726002184</v>
          </cell>
          <cell r="E112">
            <v>0.74211734819719577</v>
          </cell>
          <cell r="G112">
            <v>3200</v>
          </cell>
          <cell r="H112">
            <v>-1.7222192082021781</v>
          </cell>
          <cell r="I112">
            <v>-1.7191237005745785</v>
          </cell>
          <cell r="J112">
            <v>-1.7139769069353996</v>
          </cell>
          <cell r="K112">
            <v>-1.7067973278725737</v>
          </cell>
          <cell r="M112">
            <v>3200</v>
          </cell>
          <cell r="N112">
            <v>-1.8539620067291489</v>
          </cell>
          <cell r="O112">
            <v>-6.4321893473102207</v>
          </cell>
          <cell r="P112">
            <v>-14.025922478632509</v>
          </cell>
          <cell r="Q112">
            <v>24.992840576245257</v>
          </cell>
          <cell r="S112">
            <v>3200</v>
          </cell>
          <cell r="T112">
            <v>2.2662635870835572</v>
          </cell>
          <cell r="U112">
            <v>6.8444909276646282</v>
          </cell>
          <cell r="Z112">
            <v>14.438224058986917</v>
          </cell>
          <cell r="AA112">
            <v>24.992840576245257</v>
          </cell>
          <cell r="AC112">
            <v>3200</v>
          </cell>
          <cell r="AD112">
            <v>4.3634376000465465E-4</v>
          </cell>
          <cell r="AE112">
            <v>4.355577912710844E-4</v>
          </cell>
          <cell r="AF112">
            <v>4.3425098819863676E-4</v>
          </cell>
          <cell r="AG112">
            <v>4.3242804820221609E-4</v>
          </cell>
          <cell r="AI112">
            <v>3200</v>
          </cell>
          <cell r="AJ112">
            <v>-4.3634376000465465E-4</v>
          </cell>
          <cell r="AK112">
            <v>-4.355577912710844E-4</v>
          </cell>
          <cell r="AL112">
            <v>-4.3425098819863676E-4</v>
          </cell>
          <cell r="AM112">
            <v>-4.3242804820221609E-4</v>
          </cell>
        </row>
        <row r="113">
          <cell r="A113">
            <v>3400</v>
          </cell>
          <cell r="B113">
            <v>0.81042919437023198</v>
          </cell>
          <cell r="C113">
            <v>0.80723841814185715</v>
          </cell>
          <cell r="D113">
            <v>0.80193322468995953</v>
          </cell>
          <cell r="E113">
            <v>0.7945326839840835</v>
          </cell>
          <cell r="G113">
            <v>3400</v>
          </cell>
          <cell r="H113">
            <v>-1.7751091740456098</v>
          </cell>
          <cell r="I113">
            <v>-1.7719183978172353</v>
          </cell>
          <cell r="J113">
            <v>-1.7666132043653378</v>
          </cell>
          <cell r="K113">
            <v>-1.7592126636594616</v>
          </cell>
          <cell r="M113">
            <v>3400</v>
          </cell>
          <cell r="N113">
            <v>-1.9236608384296718</v>
          </cell>
          <cell r="O113">
            <v>-6.6427895642562707</v>
          </cell>
          <cell r="P113">
            <v>-14.470230512554808</v>
          </cell>
          <cell r="Q113">
            <v>25.761981777545454</v>
          </cell>
          <cell r="S113">
            <v>3400</v>
          </cell>
          <cell r="T113">
            <v>2.3359624187840797</v>
          </cell>
          <cell r="U113">
            <v>7.0550911446106799</v>
          </cell>
          <cell r="Z113">
            <v>14.882532092909214</v>
          </cell>
          <cell r="AA113">
            <v>25.761981777545454</v>
          </cell>
          <cell r="AC113">
            <v>3400</v>
          </cell>
          <cell r="AD113">
            <v>3.984147070623351E-4</v>
          </cell>
          <cell r="AE113">
            <v>3.9769705842965567E-4</v>
          </cell>
          <cell r="AF113">
            <v>3.965038488297479E-4</v>
          </cell>
          <cell r="AG113">
            <v>3.9483936735610795E-4</v>
          </cell>
          <cell r="AI113">
            <v>3400</v>
          </cell>
          <cell r="AJ113">
            <v>-3.984147070623351E-4</v>
          </cell>
          <cell r="AK113">
            <v>-3.9769705842965567E-4</v>
          </cell>
          <cell r="AL113">
            <v>-3.965038488297479E-4</v>
          </cell>
          <cell r="AM113">
            <v>-3.9483936735610795E-4</v>
          </cell>
        </row>
        <row r="114">
          <cell r="A114">
            <v>3600</v>
          </cell>
          <cell r="B114">
            <v>0.86178513597073036</v>
          </cell>
          <cell r="C114">
            <v>0.85850185431869463</v>
          </cell>
          <cell r="D114">
            <v>0.85304285529324841</v>
          </cell>
          <cell r="E114">
            <v>0.84542776173116452</v>
          </cell>
          <cell r="G114">
            <v>3600</v>
          </cell>
          <cell r="H114">
            <v>-1.8264651156461085</v>
          </cell>
          <cell r="I114">
            <v>-1.8231818339940729</v>
          </cell>
          <cell r="J114">
            <v>-1.8177228349686263</v>
          </cell>
          <cell r="K114">
            <v>-1.8101077414065423</v>
          </cell>
          <cell r="M114">
            <v>3600</v>
          </cell>
          <cell r="N114">
            <v>-1.9913381203744387</v>
          </cell>
          <cell r="O114">
            <v>-6.8472815178822311</v>
          </cell>
          <cell r="P114">
            <v>-14.90165180540065</v>
          </cell>
          <cell r="Q114">
            <v>26.508814754020428</v>
          </cell>
          <cell r="S114">
            <v>3600</v>
          </cell>
          <cell r="T114">
            <v>2.4036397007288466</v>
          </cell>
          <cell r="U114">
            <v>7.2595830982366385</v>
          </cell>
          <cell r="Z114">
            <v>15.313953385755056</v>
          </cell>
          <cell r="AA114">
            <v>26.508814754020428</v>
          </cell>
          <cell r="AC114">
            <v>3600</v>
          </cell>
          <cell r="AD114">
            <v>3.6567897081804767E-4</v>
          </cell>
          <cell r="AE114">
            <v>3.650202877705714E-4</v>
          </cell>
          <cell r="AF114">
            <v>3.6392511821299725E-4</v>
          </cell>
          <cell r="AG114">
            <v>3.6239739882554218E-4</v>
          </cell>
          <cell r="AI114">
            <v>3600</v>
          </cell>
          <cell r="AJ114">
            <v>-3.6567897081804767E-4</v>
          </cell>
          <cell r="AK114">
            <v>-3.650202877705714E-4</v>
          </cell>
          <cell r="AL114">
            <v>-3.6392511821299725E-4</v>
          </cell>
          <cell r="AM114">
            <v>-3.6239739882554218E-4</v>
          </cell>
        </row>
        <row r="115">
          <cell r="A115">
            <v>3800</v>
          </cell>
          <cell r="B115">
            <v>0.91173326125170928</v>
          </cell>
          <cell r="C115">
            <v>0.90836001001979261</v>
          </cell>
          <cell r="D115">
            <v>0.90275142168068345</v>
          </cell>
          <cell r="E115">
            <v>0.89492765678267872</v>
          </cell>
          <cell r="G115">
            <v>3800</v>
          </cell>
          <cell r="H115">
            <v>-1.8764132409270868</v>
          </cell>
          <cell r="I115">
            <v>-1.8730399896951702</v>
          </cell>
          <cell r="J115">
            <v>-1.8674314013560613</v>
          </cell>
          <cell r="K115">
            <v>-1.8596076364580563</v>
          </cell>
          <cell r="M115">
            <v>3800</v>
          </cell>
          <cell r="N115">
            <v>-2.0571601704022489</v>
          </cell>
          <cell r="O115">
            <v>-7.0461677499392126</v>
          </cell>
          <cell r="P115">
            <v>-15.321246580851845</v>
          </cell>
          <cell r="Q115">
            <v>27.235174857844836</v>
          </cell>
          <cell r="S115">
            <v>3800</v>
          </cell>
          <cell r="T115">
            <v>2.4694617507566572</v>
          </cell>
          <cell r="U115">
            <v>7.45846933029362</v>
          </cell>
          <cell r="Z115">
            <v>15.733548161206253</v>
          </cell>
          <cell r="AA115">
            <v>27.235174857844836</v>
          </cell>
          <cell r="AC115">
            <v>3800</v>
          </cell>
          <cell r="AD115">
            <v>3.3719283847177475E-4</v>
          </cell>
          <cell r="AE115">
            <v>3.3658546636630498E-4</v>
          </cell>
          <cell r="AF115">
            <v>3.355756097401496E-4</v>
          </cell>
          <cell r="AG115">
            <v>3.3416689860892994E-4</v>
          </cell>
          <cell r="AI115">
            <v>3800</v>
          </cell>
          <cell r="AJ115">
            <v>-3.3719283847177475E-4</v>
          </cell>
          <cell r="AK115">
            <v>-3.3658546636630498E-4</v>
          </cell>
          <cell r="AL115">
            <v>-3.355756097401496E-4</v>
          </cell>
          <cell r="AM115">
            <v>-3.3416689860892994E-4</v>
          </cell>
        </row>
        <row r="116">
          <cell r="A116">
            <v>4000</v>
          </cell>
          <cell r="B116">
            <v>0.96038336670566038</v>
          </cell>
          <cell r="C116">
            <v>0.95692248396556934</v>
          </cell>
          <cell r="D116">
            <v>0.95116819374388617</v>
          </cell>
          <cell r="E116">
            <v>0.94314118032672967</v>
          </cell>
          <cell r="G116">
            <v>4000</v>
          </cell>
          <cell r="H116">
            <v>-1.9250633463810385</v>
          </cell>
          <cell r="I116">
            <v>-1.9216024636409474</v>
          </cell>
          <cell r="J116">
            <v>-1.9158481734192643</v>
          </cell>
          <cell r="K116">
            <v>-1.9078211600021076</v>
          </cell>
          <cell r="M116">
            <v>4000</v>
          </cell>
          <cell r="N116">
            <v>-2.1212716792333461</v>
          </cell>
          <cell r="O116">
            <v>-7.239885454227025</v>
          </cell>
          <cell r="P116">
            <v>-15.729937196541512</v>
          </cell>
          <cell r="Q116">
            <v>27.942658781411787</v>
          </cell>
          <cell r="S116">
            <v>4000</v>
          </cell>
          <cell r="T116">
            <v>2.5335732595877545</v>
          </cell>
          <cell r="U116">
            <v>7.6521870345814325</v>
          </cell>
          <cell r="Z116">
            <v>16.142238776895919</v>
          </cell>
          <cell r="AA116">
            <v>27.942658781411787</v>
          </cell>
          <cell r="AC116">
            <v>4000</v>
          </cell>
          <cell r="AD116">
            <v>3.1222217885704427E-4</v>
          </cell>
          <cell r="AE116">
            <v>3.1165978541177944E-4</v>
          </cell>
          <cell r="AF116">
            <v>3.1072471325075589E-4</v>
          </cell>
          <cell r="AG116">
            <v>3.0942032357046797E-4</v>
          </cell>
          <cell r="AI116">
            <v>4000</v>
          </cell>
          <cell r="AJ116">
            <v>-3.1222217885704427E-4</v>
          </cell>
          <cell r="AK116">
            <v>-3.1165978541177944E-4</v>
          </cell>
          <cell r="AL116">
            <v>-3.1072471325075589E-4</v>
          </cell>
          <cell r="AM116">
            <v>-3.0942032357046797E-4</v>
          </cell>
        </row>
        <row r="117">
          <cell r="A117">
            <v>4200</v>
          </cell>
          <cell r="B117">
            <v>1.0078316782246277</v>
          </cell>
          <cell r="C117">
            <v>1.0042853287201807</v>
          </cell>
          <cell r="D117">
            <v>0.99838893586071731</v>
          </cell>
          <cell r="E117">
            <v>0.99016369473238752</v>
          </cell>
          <cell r="G117">
            <v>4200</v>
          </cell>
          <cell r="H117">
            <v>-1.9725116579000062</v>
          </cell>
          <cell r="I117">
            <v>-1.9689653083955587</v>
          </cell>
          <cell r="J117">
            <v>-1.9630689155360956</v>
          </cell>
          <cell r="K117">
            <v>-1.9548436744077657</v>
          </cell>
          <cell r="M117">
            <v>4200</v>
          </cell>
          <cell r="N117">
            <v>-2.1837994541391637</v>
          </cell>
          <cell r="O117">
            <v>-7.4288177883714459</v>
          </cell>
          <cell r="P117">
            <v>-16.128532008766054</v>
          </cell>
          <cell r="Q117">
            <v>28.632665869512348</v>
          </cell>
          <cell r="S117">
            <v>4200</v>
          </cell>
          <cell r="T117">
            <v>2.5961010344935715</v>
          </cell>
          <cell r="U117">
            <v>7.8411193687258534</v>
          </cell>
          <cell r="Z117">
            <v>16.54083358912046</v>
          </cell>
          <cell r="AA117">
            <v>28.632665869512348</v>
          </cell>
          <cell r="AC117">
            <v>4200</v>
          </cell>
          <cell r="AD117">
            <v>2.9018823535498987E-4</v>
          </cell>
          <cell r="AE117">
            <v>2.8966553077950443E-4</v>
          </cell>
          <cell r="AF117">
            <v>2.8879644793173778E-4</v>
          </cell>
          <cell r="AG117">
            <v>2.875841108039794E-4</v>
          </cell>
          <cell r="AI117">
            <v>4200</v>
          </cell>
          <cell r="AJ117">
            <v>-2.9018823535498987E-4</v>
          </cell>
          <cell r="AK117">
            <v>-2.8966553077950443E-4</v>
          </cell>
          <cell r="AL117">
            <v>-2.8879644793173778E-4</v>
          </cell>
          <cell r="AM117">
            <v>-2.875841108039794E-4</v>
          </cell>
        </row>
        <row r="118">
          <cell r="A118">
            <v>4400</v>
          </cell>
          <cell r="B118">
            <v>1.0541630893098906</v>
          </cell>
          <cell r="C118">
            <v>1.0505332848696036</v>
          </cell>
          <cell r="D118">
            <v>1.0444981343701631</v>
          </cell>
          <cell r="E118">
            <v>1.0360793316738688</v>
          </cell>
          <cell r="G118">
            <v>4400</v>
          </cell>
          <cell r="H118">
            <v>-2.0188430689852686</v>
          </cell>
          <cell r="I118">
            <v>-2.0152132645449821</v>
          </cell>
          <cell r="J118">
            <v>-2.0091781140455414</v>
          </cell>
          <cell r="K118">
            <v>-2.0007593113492472</v>
          </cell>
          <cell r="M118">
            <v>4400</v>
          </cell>
          <cell r="N118">
            <v>-2.2448553684734414</v>
          </cell>
          <cell r="O118">
            <v>-7.613302786052432</v>
          </cell>
          <cell r="P118">
            <v>-16.517744174814279</v>
          </cell>
          <cell r="Q118">
            <v>29.306430668028991</v>
          </cell>
          <cell r="S118">
            <v>4400</v>
          </cell>
          <cell r="T118">
            <v>2.6571569488278497</v>
          </cell>
          <cell r="U118">
            <v>8.0256043664068404</v>
          </cell>
          <cell r="Z118">
            <v>16.930045755168685</v>
          </cell>
          <cell r="AA118">
            <v>29.306430668028991</v>
          </cell>
          <cell r="AC118">
            <v>4400</v>
          </cell>
          <cell r="AD118">
            <v>2.706292427935795E-4</v>
          </cell>
          <cell r="AE118">
            <v>2.7014176905676407E-4</v>
          </cell>
          <cell r="AF118">
            <v>2.6933126330787229E-4</v>
          </cell>
          <cell r="AG118">
            <v>2.6820063897882451E-4</v>
          </cell>
          <cell r="AI118">
            <v>4400</v>
          </cell>
          <cell r="AJ118">
            <v>-2.706292427935795E-4</v>
          </cell>
          <cell r="AK118">
            <v>-2.7014176905676407E-4</v>
          </cell>
          <cell r="AL118">
            <v>-2.6933126330787229E-4</v>
          </cell>
          <cell r="AM118">
            <v>-2.6820063897882451E-4</v>
          </cell>
        </row>
        <row r="119">
          <cell r="A119">
            <v>4600</v>
          </cell>
          <cell r="B119">
            <v>1.0994529459052658</v>
          </cell>
          <cell r="C119">
            <v>1.0957415626399913</v>
          </cell>
          <cell r="D119">
            <v>1.0895707738453022</v>
          </cell>
          <cell r="E119">
            <v>1.0809627609468979</v>
          </cell>
          <cell r="G119">
            <v>4600</v>
          </cell>
          <cell r="H119">
            <v>-2.064132925580644</v>
          </cell>
          <cell r="I119">
            <v>-2.0604215423153693</v>
          </cell>
          <cell r="J119">
            <v>-2.0542507535206802</v>
          </cell>
          <cell r="K119">
            <v>-2.0456427406222759</v>
          </cell>
          <cell r="M119">
            <v>4600</v>
          </cell>
          <cell r="N119">
            <v>-2.3045387137402242</v>
          </cell>
          <cell r="O119">
            <v>-7.7936404639529391</v>
          </cell>
          <cell r="P119">
            <v>-16.898206646657851</v>
          </cell>
          <cell r="Q119">
            <v>29.965048879498426</v>
          </cell>
          <cell r="S119">
            <v>4600</v>
          </cell>
          <cell r="T119">
            <v>2.7168402940946321</v>
          </cell>
          <cell r="U119">
            <v>8.2059420443073456</v>
          </cell>
          <cell r="Z119">
            <v>17.310508227012257</v>
          </cell>
          <cell r="AA119">
            <v>29.965048879498426</v>
          </cell>
          <cell r="AC119">
            <v>4600</v>
          </cell>
          <cell r="AD119">
            <v>2.5317276784648759E-4</v>
          </cell>
          <cell r="AE119">
            <v>2.5271673776663343E-4</v>
          </cell>
          <cell r="AF119">
            <v>2.5195851230036726E-4</v>
          </cell>
          <cell r="AG119">
            <v>2.5090081695368241E-4</v>
          </cell>
          <cell r="AI119">
            <v>4600</v>
          </cell>
          <cell r="AJ119">
            <v>-2.5317276784648759E-4</v>
          </cell>
          <cell r="AK119">
            <v>-2.5271673776663343E-4</v>
          </cell>
          <cell r="AL119">
            <v>-2.5195851230036726E-4</v>
          </cell>
          <cell r="AM119">
            <v>-2.5090081695368241E-4</v>
          </cell>
        </row>
        <row r="120">
          <cell r="A120">
            <v>4800</v>
          </cell>
          <cell r="B120">
            <v>1.1437684852889656</v>
          </cell>
          <cell r="C120">
            <v>1.1399772781977093</v>
          </cell>
          <cell r="D120">
            <v>1.1336737690840146</v>
          </cell>
          <cell r="E120">
            <v>1.1248806164480682</v>
          </cell>
          <cell r="G120">
            <v>4800</v>
          </cell>
          <cell r="H120">
            <v>-2.1084484649643436</v>
          </cell>
          <cell r="I120">
            <v>-2.1046572578730873</v>
          </cell>
          <cell r="J120">
            <v>-2.0983537487593922</v>
          </cell>
          <cell r="K120">
            <v>-2.0895605961234458</v>
          </cell>
          <cell r="M120">
            <v>4800</v>
          </cell>
          <cell r="N120">
            <v>-2.3629380957773733</v>
          </cell>
          <cell r="O120">
            <v>-7.9700985512187934</v>
          </cell>
          <cell r="P120">
            <v>-17.270484258522156</v>
          </cell>
          <cell r="Q120">
            <v>30.609498287893672</v>
          </cell>
          <cell r="S120">
            <v>4800</v>
          </cell>
          <cell r="T120">
            <v>2.7752396761317812</v>
          </cell>
          <cell r="U120">
            <v>8.3824001315732009</v>
          </cell>
          <cell r="Z120">
            <v>17.682785838876566</v>
          </cell>
          <cell r="AA120">
            <v>30.609498287893672</v>
          </cell>
          <cell r="AC120">
            <v>4800</v>
          </cell>
          <cell r="AD120">
            <v>2.3751545876863275E-4</v>
          </cell>
          <cell r="AE120">
            <v>2.3708763157951528E-4</v>
          </cell>
          <cell r="AF120">
            <v>2.3637629808578235E-4</v>
          </cell>
          <cell r="AG120">
            <v>2.3538401523623978E-4</v>
          </cell>
          <cell r="AI120">
            <v>4800</v>
          </cell>
          <cell r="AJ120">
            <v>-2.3751545876863275E-4</v>
          </cell>
          <cell r="AK120">
            <v>-2.3708763157951528E-4</v>
          </cell>
          <cell r="AL120">
            <v>-2.3637629808578235E-4</v>
          </cell>
          <cell r="AM120">
            <v>-2.3538401523623978E-4</v>
          </cell>
        </row>
        <row r="121">
          <cell r="A121">
            <v>5000</v>
          </cell>
          <cell r="B121">
            <v>1.1871700076083069</v>
          </cell>
          <cell r="C121">
            <v>1.1833006230738072</v>
          </cell>
          <cell r="D121">
            <v>1.1768671310248338</v>
          </cell>
          <cell r="E121">
            <v>1.1678926571963018</v>
          </cell>
          <cell r="G121">
            <v>5000</v>
          </cell>
          <cell r="H121">
            <v>-2.1518499872836845</v>
          </cell>
          <cell r="I121">
            <v>-2.1479806027491848</v>
          </cell>
          <cell r="J121">
            <v>-2.1415471107002118</v>
          </cell>
          <cell r="K121">
            <v>-2.13257263687168</v>
          </cell>
          <cell r="M121">
            <v>5000</v>
          </cell>
          <cell r="N121">
            <v>-2.4201329786146415</v>
          </cell>
          <cell r="O121">
            <v>-8.1429171543409833</v>
          </cell>
          <cell r="P121">
            <v>-17.635083568493844</v>
          </cell>
          <cell r="Q121">
            <v>31.240655795421176</v>
          </cell>
          <cell r="S121">
            <v>5000</v>
          </cell>
          <cell r="T121">
            <v>2.8324345589690498</v>
          </cell>
          <cell r="U121">
            <v>8.5552187346953907</v>
          </cell>
          <cell r="Z121">
            <v>18.04738514884825</v>
          </cell>
          <cell r="AA121">
            <v>31.240655795421176</v>
          </cell>
          <cell r="AC121">
            <v>5000</v>
          </cell>
          <cell r="AD121">
            <v>2.2340800512238345E-4</v>
          </cell>
          <cell r="AE121">
            <v>2.2300558913079547E-4</v>
          </cell>
          <cell r="AF121">
            <v>2.2233650595770228E-4</v>
          </cell>
          <cell r="AG121">
            <v>2.214031606795349E-4</v>
          </cell>
          <cell r="AI121">
            <v>5000</v>
          </cell>
          <cell r="AJ121">
            <v>-2.2340800512238345E-4</v>
          </cell>
          <cell r="AK121">
            <v>-2.2300558913079547E-4</v>
          </cell>
          <cell r="AL121">
            <v>-2.2233650595770228E-4</v>
          </cell>
          <cell r="AM121">
            <v>-2.214031606795349E-4</v>
          </cell>
        </row>
        <row r="122">
          <cell r="A122">
            <v>5200</v>
          </cell>
          <cell r="B122">
            <v>1.2297118383774468</v>
          </cell>
          <cell r="C122">
            <v>1.2257658249280452</v>
          </cell>
          <cell r="D122">
            <v>1.2192049246283936</v>
          </cell>
          <cell r="E122">
            <v>1.2100527211932108</v>
          </cell>
          <cell r="G122">
            <v>5200</v>
          </cell>
          <cell r="H122">
            <v>-2.194391818052825</v>
          </cell>
          <cell r="I122">
            <v>-2.1904458046034234</v>
          </cell>
          <cell r="J122">
            <v>-2.1838849043037718</v>
          </cell>
          <cell r="K122">
            <v>-2.1747327008685891</v>
          </cell>
          <cell r="M122">
            <v>5200</v>
          </cell>
          <cell r="N122">
            <v>-2.4761949528610976</v>
          </cell>
          <cell r="O122">
            <v>-8.3123125896828203</v>
          </cell>
          <cell r="P122">
            <v>-17.99246094408992</v>
          </cell>
          <cell r="Q122">
            <v>31.859311419441575</v>
          </cell>
          <cell r="S122">
            <v>5200</v>
          </cell>
          <cell r="T122">
            <v>2.8884965332155059</v>
          </cell>
          <cell r="U122">
            <v>8.7246141700372277</v>
          </cell>
          <cell r="Z122">
            <v>18.404762524444326</v>
          </cell>
          <cell r="AA122">
            <v>31.859311419441575</v>
          </cell>
          <cell r="AC122">
            <v>5200</v>
          </cell>
          <cell r="AD122">
            <v>2.1064381982467993E-4</v>
          </cell>
          <cell r="AE122">
            <v>2.1026439545454516E-4</v>
          </cell>
          <cell r="AF122">
            <v>2.0963353965650173E-4</v>
          </cell>
          <cell r="AG122">
            <v>2.0875352009542644E-4</v>
          </cell>
          <cell r="AI122">
            <v>5200</v>
          </cell>
          <cell r="AJ122">
            <v>-2.1064381982467993E-4</v>
          </cell>
          <cell r="AK122">
            <v>-2.1026439545454516E-4</v>
          </cell>
          <cell r="AL122">
            <v>-2.0963353965650173E-4</v>
          </cell>
          <cell r="AM122">
            <v>-2.0875352009542644E-4</v>
          </cell>
        </row>
        <row r="127">
          <cell r="B127" t="str">
            <v>Vol 50%</v>
          </cell>
          <cell r="C127" t="str">
            <v>Vol 100%</v>
          </cell>
          <cell r="D127" t="str">
            <v>Vol 150%</v>
          </cell>
          <cell r="E127" t="str">
            <v>Vol 200%</v>
          </cell>
        </row>
        <row r="128">
          <cell r="A128">
            <v>10</v>
          </cell>
          <cell r="B128">
            <v>4041.9987510828723</v>
          </cell>
          <cell r="C128">
            <v>4025.8018198592467</v>
          </cell>
          <cell r="D128">
            <v>3998.8717416217683</v>
          </cell>
          <cell r="E128">
            <v>3961.3053188294762</v>
          </cell>
          <cell r="G128">
            <v>10</v>
          </cell>
          <cell r="H128">
            <v>-0.80198019801980203</v>
          </cell>
          <cell r="M128">
            <v>10</v>
          </cell>
          <cell r="N128">
            <v>5061.2295203136418</v>
          </cell>
        </row>
        <row r="129">
          <cell r="A129">
            <v>22.857142857142858</v>
          </cell>
          <cell r="B129">
            <v>3594.8816291543876</v>
          </cell>
          <cell r="C129">
            <v>3579.6058676056055</v>
          </cell>
          <cell r="D129">
            <v>3554.2073863769074</v>
          </cell>
          <cell r="E129">
            <v>3518.7774824714857</v>
          </cell>
          <cell r="G129">
            <v>22.857142857142858</v>
          </cell>
          <cell r="H129">
            <v>-0.70438532837267143</v>
          </cell>
          <cell r="M129">
            <v>22.857142857142858</v>
          </cell>
          <cell r="N129">
            <v>5125.9702904220658</v>
          </cell>
        </row>
        <row r="130">
          <cell r="A130">
            <v>35.714285714285715</v>
          </cell>
          <cell r="B130">
            <v>3281.5388913009169</v>
          </cell>
          <cell r="C130">
            <v>3266.9433369270573</v>
          </cell>
          <cell r="D130">
            <v>3242.6758126793734</v>
          </cell>
          <cell r="E130">
            <v>3208.8235502398993</v>
          </cell>
          <cell r="G130">
            <v>35.714285714285715</v>
          </cell>
          <cell r="H130">
            <v>-0.63506878468074612</v>
          </cell>
          <cell r="M130">
            <v>35.714285714285715</v>
          </cell>
          <cell r="N130">
            <v>5190.5920255778219</v>
          </cell>
        </row>
        <row r="131">
          <cell r="A131">
            <v>48.571428571428569</v>
          </cell>
          <cell r="B131">
            <v>3032.0335277340764</v>
          </cell>
          <cell r="C131">
            <v>3018.0031928011063</v>
          </cell>
          <cell r="D131">
            <v>2994.675439399784</v>
          </cell>
          <cell r="E131">
            <v>2962.1341211258255</v>
          </cell>
          <cell r="G131">
            <v>48.571428571428569</v>
          </cell>
          <cell r="H131">
            <v>-0.57963900216508146</v>
          </cell>
          <cell r="M131">
            <v>48.571428571428569</v>
          </cell>
          <cell r="N131">
            <v>5255.1569570422043</v>
          </cell>
        </row>
        <row r="132">
          <cell r="A132">
            <v>61.428571428571431</v>
          </cell>
          <cell r="B132">
            <v>2821.9772206382431</v>
          </cell>
          <cell r="C132">
            <v>2808.4410471231149</v>
          </cell>
          <cell r="D132">
            <v>2785.9349188469905</v>
          </cell>
          <cell r="E132">
            <v>2754.5397360041193</v>
          </cell>
          <cell r="G132">
            <v>61.428571428571431</v>
          </cell>
          <cell r="H132">
            <v>-0.53299188229078132</v>
          </cell>
          <cell r="M132">
            <v>61.428571428571431</v>
          </cell>
          <cell r="N132">
            <v>5319.6867859972226</v>
          </cell>
        </row>
        <row r="133">
          <cell r="A133">
            <v>74.285714285714292</v>
          </cell>
          <cell r="B133">
            <v>2639.4208003301228</v>
          </cell>
          <cell r="C133">
            <v>2626.3292537758944</v>
          </cell>
          <cell r="D133">
            <v>2604.5623913939203</v>
          </cell>
          <cell r="E133">
            <v>2574.1984560242531</v>
          </cell>
          <cell r="G133">
            <v>74.285714285714292</v>
          </cell>
          <cell r="H133">
            <v>-0.49258553116119908</v>
          </cell>
          <cell r="M133">
            <v>74.285714285714292</v>
          </cell>
          <cell r="N133">
            <v>5384.1921450378795</v>
          </cell>
        </row>
        <row r="134">
          <cell r="A134">
            <v>87.142857142857153</v>
          </cell>
          <cell r="B134">
            <v>2477.4515132064967</v>
          </cell>
          <cell r="C134">
            <v>2464.767510825513</v>
          </cell>
          <cell r="D134">
            <v>2443.6782580671884</v>
          </cell>
          <cell r="E134">
            <v>2414.2595620460902</v>
          </cell>
          <cell r="G134">
            <v>87.142857142857153</v>
          </cell>
          <cell r="H134">
            <v>-0.45692566833713988</v>
          </cell>
          <cell r="M134">
            <v>87.142857142857153</v>
          </cell>
          <cell r="N134">
            <v>5448.6791852618117</v>
          </cell>
        </row>
        <row r="135">
          <cell r="A135">
            <v>100</v>
          </cell>
          <cell r="B135">
            <v>2331.6434155574884</v>
          </cell>
          <cell r="C135">
            <v>2319.3378468392102</v>
          </cell>
          <cell r="D135">
            <v>2298.8778026638965</v>
          </cell>
          <cell r="E135">
            <v>2270.3368284022949</v>
          </cell>
          <cell r="G135">
            <v>100</v>
          </cell>
          <cell r="H135">
            <v>-0.42504042542393106</v>
          </cell>
          <cell r="M135">
            <v>100</v>
          </cell>
          <cell r="N135">
            <v>5513.1518449566374</v>
          </cell>
        </row>
        <row r="136">
          <cell r="A136">
            <v>212.5</v>
          </cell>
          <cell r="B136">
            <v>1447.9357097848213</v>
          </cell>
          <cell r="C136">
            <v>1438.2351377301216</v>
          </cell>
          <cell r="D136">
            <v>1422.106331552302</v>
          </cell>
          <cell r="E136">
            <v>1399.6072676183664</v>
          </cell>
          <cell r="G136">
            <v>212.5</v>
          </cell>
          <cell r="H136">
            <v>-0.23962519939852467</v>
          </cell>
          <cell r="M136">
            <v>212.5</v>
          </cell>
          <cell r="N136">
            <v>6076.9387076620333</v>
          </cell>
        </row>
        <row r="137">
          <cell r="A137">
            <v>325</v>
          </cell>
          <cell r="B137">
            <v>920.30083536606242</v>
          </cell>
          <cell r="C137">
            <v>912.56388008603244</v>
          </cell>
          <cell r="D137">
            <v>899.69991171237393</v>
          </cell>
          <cell r="E137">
            <v>881.75517087463527</v>
          </cell>
          <cell r="G137">
            <v>325</v>
          </cell>
          <cell r="H137">
            <v>-0.13949024520819775</v>
          </cell>
          <cell r="M137">
            <v>325</v>
          </cell>
          <cell r="N137">
            <v>6640.4087300925221</v>
          </cell>
        </row>
        <row r="138">
          <cell r="A138">
            <v>437.5</v>
          </cell>
          <cell r="B138">
            <v>570.11181098967188</v>
          </cell>
          <cell r="C138">
            <v>564.01884630234542</v>
          </cell>
          <cell r="D138">
            <v>553.88828431733646</v>
          </cell>
          <cell r="E138">
            <v>539.75654020221077</v>
          </cell>
          <cell r="G138">
            <v>437.5</v>
          </cell>
          <cell r="H138">
            <v>-7.9738674412316302E-2</v>
          </cell>
          <cell r="M138">
            <v>437.5</v>
          </cell>
          <cell r="N138">
            <v>7203.7208578819173</v>
          </cell>
        </row>
        <row r="139">
          <cell r="A139">
            <v>550</v>
          </cell>
          <cell r="B139">
            <v>331.50444189798179</v>
          </cell>
          <cell r="C139">
            <v>326.85448018686895</v>
          </cell>
          <cell r="D139">
            <v>319.12314942102114</v>
          </cell>
          <cell r="E139">
            <v>308.33824052711844</v>
          </cell>
          <cell r="G139">
            <v>550</v>
          </cell>
          <cell r="H139">
            <v>-4.3071162955398368E-2</v>
          </cell>
          <cell r="M139">
            <v>550</v>
          </cell>
          <cell r="N139">
            <v>7766.933698224414</v>
          </cell>
        </row>
        <row r="140">
          <cell r="A140">
            <v>662.5</v>
          </cell>
          <cell r="B140">
            <v>171.43558624593047</v>
          </cell>
          <cell r="C140">
            <v>168.08715919727769</v>
          </cell>
          <cell r="D140">
            <v>162.51984517045904</v>
          </cell>
          <cell r="E140">
            <v>154.75365634974315</v>
          </cell>
          <cell r="G140">
            <v>662.5</v>
          </cell>
          <cell r="H140">
            <v>-2.0822821287235671E-2</v>
          </cell>
          <cell r="M140">
            <v>662.5</v>
          </cell>
          <cell r="N140">
            <v>8330.076653526552</v>
          </cell>
        </row>
        <row r="141">
          <cell r="A141">
            <v>775</v>
          </cell>
          <cell r="B141">
            <v>70.527766170821451</v>
          </cell>
          <cell r="C141">
            <v>68.374309354307655</v>
          </cell>
          <cell r="D141">
            <v>64.793831068078447</v>
          </cell>
          <cell r="E141">
            <v>59.799201646172378</v>
          </cell>
          <cell r="G141">
            <v>775</v>
          </cell>
          <cell r="H141">
            <v>-8.0666556811825885E-3</v>
          </cell>
          <cell r="M141">
            <v>775</v>
          </cell>
          <cell r="N141">
            <v>8893.1669662310942</v>
          </cell>
        </row>
        <row r="142">
          <cell r="A142">
            <v>887.5</v>
          </cell>
          <cell r="B142">
            <v>16.263164986641819</v>
          </cell>
          <cell r="C142">
            <v>15.220661819376204</v>
          </cell>
          <cell r="D142">
            <v>13.48732780259931</v>
          </cell>
          <cell r="E142">
            <v>11.069393553011508</v>
          </cell>
          <cell r="G142">
            <v>887.5</v>
          </cell>
          <cell r="H142">
            <v>-1.7778182030849798E-3</v>
          </cell>
          <cell r="M142">
            <v>887.5</v>
          </cell>
          <cell r="N142">
            <v>9456.2157749257967</v>
          </cell>
        </row>
        <row r="143">
          <cell r="A143">
            <v>1000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G143">
            <v>1000</v>
          </cell>
          <cell r="H143">
            <v>0</v>
          </cell>
          <cell r="M143">
            <v>1000</v>
          </cell>
          <cell r="N143">
            <v>10019.23076923077</v>
          </cell>
        </row>
        <row r="144">
          <cell r="A144">
            <v>1200</v>
          </cell>
          <cell r="B144">
            <v>46.39738336681409</v>
          </cell>
          <cell r="C144">
            <v>48.1150699928723</v>
          </cell>
          <cell r="D144">
            <v>50.971008231330828</v>
          </cell>
          <cell r="E144">
            <v>54.95493216904012</v>
          </cell>
          <cell r="G144">
            <v>1200</v>
          </cell>
          <cell r="H144">
            <v>-4.1408045360615819E-3</v>
          </cell>
          <cell r="M144">
            <v>1200</v>
          </cell>
          <cell r="N144">
            <v>11020.079302700904</v>
          </cell>
        </row>
        <row r="145">
          <cell r="A145">
            <v>1400</v>
          </cell>
          <cell r="B145">
            <v>169.46927432799575</v>
          </cell>
          <cell r="C145">
            <v>172.76653682626653</v>
          </cell>
          <cell r="D145">
            <v>178.24878132196574</v>
          </cell>
          <cell r="E145">
            <v>185.89630142049617</v>
          </cell>
          <cell r="G145">
            <v>1400</v>
          </cell>
          <cell r="H145">
            <v>-1.3986702816730645E-2</v>
          </cell>
          <cell r="M145">
            <v>1400</v>
          </cell>
          <cell r="N145">
            <v>12020.859609757998</v>
          </cell>
        </row>
        <row r="146">
          <cell r="A146">
            <v>1600</v>
          </cell>
          <cell r="B146">
            <v>353.24449195370812</v>
          </cell>
          <cell r="C146">
            <v>358.01198782601574</v>
          </cell>
          <cell r="D146">
            <v>365.9387385830226</v>
          </cell>
          <cell r="E146">
            <v>376.99625084425702</v>
          </cell>
          <cell r="G146">
            <v>1600</v>
          </cell>
          <cell r="H146">
            <v>-2.6991489178960326E-2</v>
          </cell>
          <cell r="M146">
            <v>1600</v>
          </cell>
          <cell r="N146">
            <v>13021.585901857996</v>
          </cell>
        </row>
        <row r="147">
          <cell r="A147">
            <v>1800</v>
          </cell>
          <cell r="B147">
            <v>586.62941608240476</v>
          </cell>
          <cell r="C147">
            <v>592.77778532920934</v>
          </cell>
          <cell r="D147">
            <v>603.00046656204927</v>
          </cell>
          <cell r="E147">
            <v>617.26071348287678</v>
          </cell>
          <cell r="G147">
            <v>1800</v>
          </cell>
          <cell r="H147">
            <v>-4.1685152500090084E-2</v>
          </cell>
          <cell r="M147">
            <v>1800</v>
          </cell>
          <cell r="N147">
            <v>14022.268050311914</v>
          </cell>
        </row>
        <row r="148">
          <cell r="A148">
            <v>2000</v>
          </cell>
          <cell r="B148">
            <v>861.54684939949038</v>
          </cell>
          <cell r="C148">
            <v>869.00128115687926</v>
          </cell>
          <cell r="D148">
            <v>881.3955074254709</v>
          </cell>
          <cell r="E148">
            <v>898.68497610370309</v>
          </cell>
          <cell r="G148">
            <v>2000</v>
          </cell>
          <cell r="H148">
            <v>-5.7190958417936533E-2</v>
          </cell>
          <cell r="M148">
            <v>2000</v>
          </cell>
          <cell r="N148">
            <v>15022.913242361212</v>
          </cell>
        </row>
        <row r="149">
          <cell r="A149">
            <v>2200</v>
          </cell>
          <cell r="B149">
            <v>1171.899160370551</v>
          </cell>
          <cell r="C149">
            <v>1180.5958271967986</v>
          </cell>
          <cell r="D149">
            <v>1195.0554748178565</v>
          </cell>
          <cell r="E149">
            <v>1215.2261267992649</v>
          </cell>
          <cell r="G149">
            <v>2200</v>
          </cell>
          <cell r="H149">
            <v>-7.2975189113042127E-2</v>
          </cell>
          <cell r="M149">
            <v>2200</v>
          </cell>
          <cell r="N149">
            <v>16023.526903792646</v>
          </cell>
        </row>
        <row r="150">
          <cell r="A150">
            <v>2400</v>
          </cell>
          <cell r="B150">
            <v>1512.9490958423642</v>
          </cell>
          <cell r="C150">
            <v>1522.8327033222333</v>
          </cell>
          <cell r="D150">
            <v>1539.2658361809542</v>
          </cell>
          <cell r="E150">
            <v>1562.1894241233547</v>
          </cell>
          <cell r="G150">
            <v>2400</v>
          </cell>
          <cell r="H150">
            <v>-8.870980089237257E-2</v>
          </cell>
          <cell r="M150">
            <v>2400</v>
          </cell>
          <cell r="N150">
            <v>17024.113249902803</v>
          </cell>
        </row>
        <row r="151">
          <cell r="A151">
            <v>2600</v>
          </cell>
          <cell r="B151">
            <v>1880.9293670679074</v>
          </cell>
          <cell r="C151">
            <v>1891.9514066541765</v>
          </cell>
          <cell r="D151">
            <v>1910.2773712641774</v>
          </cell>
          <cell r="E151">
            <v>1935.8413866578551</v>
          </cell>
          <cell r="G151">
            <v>2600</v>
          </cell>
          <cell r="H151">
            <v>-0.10419358352238339</v>
          </cell>
          <cell r="M151">
            <v>2600</v>
          </cell>
          <cell r="N151">
            <v>18024.675632895778</v>
          </cell>
        </row>
        <row r="152">
          <cell r="A152">
            <v>2800</v>
          </cell>
          <cell r="B152">
            <v>2272.7854708134787</v>
          </cell>
          <cell r="C152">
            <v>2284.9029359146271</v>
          </cell>
          <cell r="D152">
            <v>2305.0502267012816</v>
          </cell>
          <cell r="E152">
            <v>2333.1549220213765</v>
          </cell>
          <cell r="G152">
            <v>2800</v>
          </cell>
          <cell r="H152">
            <v>-0.11930523522728886</v>
          </cell>
          <cell r="M152">
            <v>2800</v>
          </cell>
          <cell r="N152">
            <v>19025.216770725761</v>
          </cell>
        </row>
        <row r="153">
          <cell r="A153">
            <v>3000</v>
          </cell>
          <cell r="B153">
            <v>2686.0000584571653</v>
          </cell>
          <cell r="C153">
            <v>2699.1744768820458</v>
          </cell>
          <cell r="D153">
            <v>2721.0791274616449</v>
          </cell>
          <cell r="E153">
            <v>2751.6352720645032</v>
          </cell>
          <cell r="G153">
            <v>3000</v>
          </cell>
          <cell r="H153">
            <v>-0.1339745962155614</v>
          </cell>
          <cell r="M153">
            <v>3000</v>
          </cell>
          <cell r="N153">
            <v>20025.73890337671</v>
          </cell>
        </row>
        <row r="154">
          <cell r="A154">
            <v>3200</v>
          </cell>
          <cell r="B154">
            <v>3118.4693136347373</v>
          </cell>
          <cell r="C154">
            <v>3132.6660027133016</v>
          </cell>
          <cell r="D154">
            <v>3156.2703474080031</v>
          </cell>
          <cell r="E154">
            <v>3189.1974998921801</v>
          </cell>
          <cell r="G154">
            <v>3200</v>
          </cell>
          <cell r="H154">
            <v>-0.14816458000008004</v>
          </cell>
          <cell r="M154">
            <v>3200</v>
          </cell>
          <cell r="N154">
            <v>21026.243902863825</v>
          </cell>
        </row>
        <row r="155">
          <cell r="A155">
            <v>3400</v>
          </cell>
          <cell r="B155">
            <v>3568.4136688630419</v>
          </cell>
          <cell r="C155">
            <v>3583.6011513896651</v>
          </cell>
          <cell r="D155">
            <v>3608.8528541366459</v>
          </cell>
          <cell r="E155">
            <v>3644.0780077085442</v>
          </cell>
          <cell r="G155">
            <v>3400</v>
          </cell>
          <cell r="H155">
            <v>-0.16185959479155565</v>
          </cell>
          <cell r="M155">
            <v>3400</v>
          </cell>
          <cell r="N155">
            <v>22026.733352679588</v>
          </cell>
        </row>
        <row r="156">
          <cell r="A156">
            <v>3600</v>
          </cell>
          <cell r="B156">
            <v>4034.3118762178574</v>
          </cell>
          <cell r="C156">
            <v>4050.4614151505539</v>
          </cell>
          <cell r="D156">
            <v>4077.312695862443</v>
          </cell>
          <cell r="E156">
            <v>4114.769199138902</v>
          </cell>
          <cell r="G156">
            <v>3600</v>
          </cell>
          <cell r="H156">
            <v>-0.17505800169520536</v>
          </cell>
          <cell r="M156">
            <v>3600</v>
          </cell>
          <cell r="N156">
            <v>23027.208606458906</v>
          </cell>
        </row>
        <row r="157">
          <cell r="A157">
            <v>3800</v>
          </cell>
          <cell r="B157">
            <v>4514.8513732956808</v>
          </cell>
          <cell r="C157">
            <v>4531.9365958591397</v>
          </cell>
          <cell r="D157">
            <v>4560.3436054331214</v>
          </cell>
          <cell r="E157">
            <v>4599.9702906031571</v>
          </cell>
          <cell r="G157">
            <v>3800</v>
          </cell>
          <cell r="H157">
            <v>-0.18776713793258626</v>
          </cell>
          <cell r="M157">
            <v>3800</v>
          </cell>
          <cell r="N157">
            <v>24027.670832144377</v>
          </cell>
        </row>
        <row r="158">
          <cell r="A158">
            <v>4000</v>
          </cell>
          <cell r="B158">
            <v>5008.890276574587</v>
          </cell>
          <cell r="C158">
            <v>5026.8868668230598</v>
          </cell>
          <cell r="D158">
            <v>5056.8091759758145</v>
          </cell>
          <cell r="E158">
            <v>5098.5496457450281</v>
          </cell>
          <cell r="G158">
            <v>4000</v>
          </cell>
          <cell r="H158">
            <v>-0.19999999999999996</v>
          </cell>
          <cell r="M158">
            <v>4000</v>
          </cell>
          <cell r="N158">
            <v>25028.121045805357</v>
          </cell>
        </row>
        <row r="159">
          <cell r="A159">
            <v>4200</v>
          </cell>
          <cell r="B159">
            <v>5515.427836777324</v>
          </cell>
          <cell r="C159">
            <v>5534.3132813751063</v>
          </cell>
          <cell r="D159">
            <v>5565.7134579607682</v>
          </cell>
          <cell r="E159">
            <v>5609.5154959261854</v>
          </cell>
          <cell r="G159">
            <v>4200</v>
          </cell>
          <cell r="H159">
            <v>-0.21177301800310777</v>
          </cell>
          <cell r="M159">
            <v>4200</v>
          </cell>
          <cell r="N159">
            <v>26028.560137927292</v>
          </cell>
        </row>
        <row r="160">
          <cell r="A160">
            <v>4400</v>
          </cell>
          <cell r="B160">
            <v>6033.5811614905933</v>
          </cell>
          <cell r="C160">
            <v>6053.3345374211031</v>
          </cell>
          <cell r="D160">
            <v>6086.1777934625334</v>
          </cell>
          <cell r="E160">
            <v>6131.9928717347793</v>
          </cell>
          <cell r="G160">
            <v>4400</v>
          </cell>
          <cell r="H160">
            <v>-0.22310455691099884</v>
          </cell>
          <cell r="M160">
            <v>4400</v>
          </cell>
          <cell r="N160">
            <v>27028.988894124395</v>
          </cell>
        </row>
        <row r="161">
          <cell r="A161">
            <v>4600</v>
          </cell>
          <cell r="B161">
            <v>6562.5666528986894</v>
          </cell>
          <cell r="C161">
            <v>6583.1684486090699</v>
          </cell>
          <cell r="D161">
            <v>6617.4223429210842</v>
          </cell>
          <cell r="E161">
            <v>6665.2052072952756</v>
          </cell>
          <cell r="G161">
            <v>4600</v>
          </cell>
          <cell r="H161">
            <v>-0.23401390751688511</v>
          </cell>
          <cell r="M161">
            <v>4600</v>
          </cell>
          <cell r="N161">
            <v>28029.408011656677</v>
          </cell>
        </row>
        <row r="162">
          <cell r="A162">
            <v>4800</v>
          </cell>
          <cell r="B162">
            <v>7101.6850433082145</v>
          </cell>
          <cell r="C162">
            <v>7123.117006808804</v>
          </cell>
          <cell r="D162">
            <v>7158.7511924384753</v>
          </cell>
          <cell r="E162">
            <v>7208.4595100831075</v>
          </cell>
          <cell r="G162">
            <v>4800</v>
          </cell>
          <cell r="H162">
            <v>-0.24452061033770189</v>
          </cell>
          <cell r="M162">
            <v>4800</v>
          </cell>
          <cell r="N162">
            <v>29029.81811274563</v>
          </cell>
        </row>
        <row r="163">
          <cell r="A163">
            <v>5000</v>
          </cell>
          <cell r="B163">
            <v>7650.3092111870646</v>
          </cell>
          <cell r="C163">
            <v>7672.554220097386</v>
          </cell>
          <cell r="D163">
            <v>7709.5402282539571</v>
          </cell>
          <cell r="E163">
            <v>7761.134286301477</v>
          </cell>
          <cell r="G163">
            <v>5000</v>
          </cell>
          <cell r="H163">
            <v>-0.2546440075000701</v>
          </cell>
          <cell r="M163">
            <v>5000</v>
          </cell>
          <cell r="N163">
            <v>30030.219755415736</v>
          </cell>
        </row>
        <row r="164">
          <cell r="A164">
            <v>5200</v>
          </cell>
          <cell r="B164">
            <v>8207.8741711880102</v>
          </cell>
          <cell r="C164">
            <v>8230.9161208133119</v>
          </cell>
          <cell r="D164">
            <v>8269.2271747769355</v>
          </cell>
          <cell r="E164">
            <v>8322.6696207336227</v>
          </cell>
          <cell r="G164">
            <v>5200</v>
          </cell>
          <cell r="H164">
            <v>-0.26440295154894322</v>
          </cell>
          <cell r="M164">
            <v>5200</v>
          </cell>
          <cell r="N164">
            <v>31030.613442401544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tMEX Perp Swap XBTUSD"/>
      <sheetName val="XBTUSD Entry Px"/>
      <sheetName val="BitMEX Quanto"/>
      <sheetName val="BitMex XBT v XBU"/>
      <sheetName val="BitMEX Active Contracts"/>
      <sheetName val="BitMEX v CME"/>
      <sheetName val="Bitcoin-BSModel"/>
      <sheetName val="IB Algo-Liquidation"/>
    </sheetNames>
    <sheetDataSet>
      <sheetData sheetId="0">
        <row r="25">
          <cell r="E25">
            <v>50</v>
          </cell>
        </row>
        <row r="27">
          <cell r="E27">
            <v>3777.5</v>
          </cell>
        </row>
        <row r="28">
          <cell r="E28">
            <v>3777.7190000000001</v>
          </cell>
        </row>
        <row r="30">
          <cell r="E30">
            <v>0.26472534745201853</v>
          </cell>
        </row>
      </sheetData>
      <sheetData sheetId="1"/>
      <sheetData sheetId="2"/>
      <sheetData sheetId="3">
        <row r="3">
          <cell r="D3">
            <v>100</v>
          </cell>
        </row>
        <row r="4">
          <cell r="D4">
            <v>1</v>
          </cell>
        </row>
        <row r="5">
          <cell r="D5">
            <v>100</v>
          </cell>
        </row>
        <row r="6">
          <cell r="D6">
            <v>0.1</v>
          </cell>
        </row>
        <row r="12">
          <cell r="H12">
            <v>233.33333333333337</v>
          </cell>
        </row>
        <row r="24">
          <cell r="D24">
            <v>100</v>
          </cell>
        </row>
        <row r="26">
          <cell r="E26">
            <v>600</v>
          </cell>
          <cell r="F26">
            <v>1.0000000000000001E-5</v>
          </cell>
        </row>
      </sheetData>
      <sheetData sheetId="4"/>
      <sheetData sheetId="5"/>
      <sheetData sheetId="6">
        <row r="11">
          <cell r="C11">
            <v>16363.636363636364</v>
          </cell>
        </row>
        <row r="12">
          <cell r="C12">
            <v>50000</v>
          </cell>
        </row>
        <row r="13">
          <cell r="C13">
            <v>1</v>
          </cell>
        </row>
        <row r="14">
          <cell r="C14">
            <v>0.02</v>
          </cell>
        </row>
        <row r="15">
          <cell r="C15">
            <v>1.3</v>
          </cell>
        </row>
        <row r="24">
          <cell r="C24">
            <v>3610.7832888469284</v>
          </cell>
        </row>
      </sheetData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utures Buckets"/>
      <sheetName val="Swaps Desk - Vega Validation"/>
      <sheetName val="PLVaRDatabase"/>
      <sheetName val="Summary"/>
      <sheetName val="TotalVaR"/>
      <sheetName val="DeltaVaR"/>
      <sheetName val="VegaVaRJPY"/>
      <sheetName val="JPYCapsVega"/>
      <sheetName val="JPYSwaptionsVega"/>
      <sheetName val="JPY ETOs"/>
      <sheetName val="JPY"/>
      <sheetName val="USD"/>
      <sheetName val="EUR"/>
      <sheetName val="AUD"/>
      <sheetName val="NZD"/>
      <sheetName val="TSAPI Summary"/>
      <sheetName val="TSAPI"/>
      <sheetName val="TSAPI MGTbook"/>
      <sheetName val="FXExposure"/>
      <sheetName val="MarketRates"/>
      <sheetName val="Swap Desk Issues"/>
      <sheetName val="Tky_Limits"/>
      <sheetName val="JPYSwaptionsVega OLD"/>
      <sheetName val="NewFX"/>
      <sheetName val="Backtesting Validation"/>
      <sheetName val="IRS-USD Delta COB 16Jan03"/>
      <sheetName val="Risk&amp;Pricing"/>
      <sheetName val="ValidStrings"/>
      <sheetName val="Limits Glossary"/>
      <sheetName val="Vega Excess"/>
      <sheetName val="Stress Test"/>
      <sheetName val="General Information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 refreshError="1"/>
      <sheetData sheetId="20">
        <row r="2">
          <cell r="I2">
            <v>38047</v>
          </cell>
        </row>
      </sheetData>
      <sheetData sheetId="21"/>
      <sheetData sheetId="22"/>
      <sheetData sheetId="23" refreshError="1"/>
      <sheetData sheetId="24"/>
      <sheetData sheetId="25"/>
      <sheetData sheetId="26">
        <row r="4">
          <cell r="V4" t="e">
            <v>#NAME?</v>
          </cell>
        </row>
      </sheetData>
      <sheetData sheetId="27"/>
      <sheetData sheetId="28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GBs"/>
      <sheetName val="JGB-BTS"/>
      <sheetName val="JGB-VaR"/>
      <sheetName val="API Summary Sheet"/>
      <sheetName val="%ofIssue"/>
      <sheetName val="JGB Mkt Making (Onshore)"/>
      <sheetName val="JGB Mkt Making (Offshore)"/>
      <sheetName val="Euro Govt Bond Trading"/>
      <sheetName val="Swaps Trading - Tokyo"/>
      <sheetName val="Tokyo TSAPI BTB"/>
      <sheetName val="Risk&amp;Pricing"/>
      <sheetName val="ValidStrings"/>
      <sheetName val="JSTEST"/>
      <sheetName val="ARTS_PV01RawData"/>
      <sheetName val="Sheet1"/>
      <sheetName val="ARTS_PV01"/>
      <sheetName val="Curve"/>
      <sheetName val="HypoPnL"/>
      <sheetName val="JGBPriceDataBase"/>
      <sheetName val="RepoPriceDataBase"/>
      <sheetName val="Module1"/>
      <sheetName val="Module4"/>
      <sheetName val="Euro Govt Bond Trading - OL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 refreshError="1"/>
      <sheetData sheetId="21" refreshError="1"/>
      <sheetData sheetId="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files"/>
      <sheetName val="Trigger"/>
      <sheetName val="ManCalcTrig"/>
      <sheetName val="VolDdeCalcDetect"/>
      <sheetName val="MGSTIBGet"/>
    </sheetNames>
    <definedNames>
      <definedName name="MGSTGE_CAL_MarketData_Builder.xls" refersTo="#REF!"/>
      <definedName name="MGSTGE_YenSwapPricer_aw_7__version_2_.xls"/>
    </definedNames>
    <sheetDataSet>
      <sheetData sheetId="0">
        <row r="3">
          <cell r="E3">
            <v>0</v>
          </cell>
        </row>
        <row r="4">
          <cell r="E4">
            <v>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A6D16-1E00-0E44-ABD1-72A8A9871AD2}">
  <dimension ref="A1:CJ164"/>
  <sheetViews>
    <sheetView tabSelected="1" topLeftCell="AX1" zoomScaleNormal="100" workbookViewId="0">
      <selection activeCell="Q172" sqref="L1:BQ172"/>
    </sheetView>
  </sheetViews>
  <sheetFormatPr baseColWidth="10" defaultColWidth="14" defaultRowHeight="17"/>
  <cols>
    <col min="1" max="3" width="10.6640625" style="5" customWidth="1"/>
    <col min="4" max="4" width="12.6640625" style="5" customWidth="1"/>
    <col min="5" max="9" width="10.6640625" style="5" customWidth="1"/>
    <col min="10" max="10" width="12" style="5" customWidth="1"/>
    <col min="11" max="13" width="10.6640625" style="5" customWidth="1"/>
    <col min="14" max="14" width="13.1640625" style="5" customWidth="1"/>
    <col min="15" max="15" width="14" style="5"/>
    <col min="16" max="16" width="17.83203125" style="5" customWidth="1"/>
    <col min="17" max="17" width="15.83203125" style="5" customWidth="1"/>
    <col min="18" max="20" width="14" style="5"/>
    <col min="21" max="21" width="17.33203125" style="5" customWidth="1"/>
    <col min="22" max="23" width="8.1640625" style="5" customWidth="1"/>
    <col min="24" max="24" width="10.33203125" style="5" customWidth="1"/>
    <col min="25" max="25" width="26.5" style="5" customWidth="1"/>
    <col min="26" max="46" width="14" style="5"/>
    <col min="47" max="47" width="16.5" style="5" customWidth="1"/>
    <col min="48" max="16384" width="14" style="5"/>
  </cols>
  <sheetData>
    <row r="1" spans="1:88" ht="54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L1" s="90" t="s">
        <v>65</v>
      </c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2"/>
      <c r="Z1" s="1" t="s">
        <v>9</v>
      </c>
      <c r="AA1" s="2" t="s">
        <v>1</v>
      </c>
      <c r="AB1" s="3" t="s">
        <v>2</v>
      </c>
      <c r="AC1" s="3" t="s">
        <v>3</v>
      </c>
      <c r="AD1" s="3" t="s">
        <v>10</v>
      </c>
      <c r="AE1" s="3" t="s">
        <v>11</v>
      </c>
      <c r="AF1" s="3" t="s">
        <v>6</v>
      </c>
      <c r="AG1" s="3" t="s">
        <v>7</v>
      </c>
      <c r="AH1" s="4" t="s">
        <v>8</v>
      </c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7"/>
      <c r="AU1" s="1" t="s">
        <v>9</v>
      </c>
      <c r="AV1" s="2" t="s">
        <v>1</v>
      </c>
      <c r="AW1" s="3" t="s">
        <v>2</v>
      </c>
      <c r="AX1" s="3" t="s">
        <v>3</v>
      </c>
      <c r="AY1" s="3" t="s">
        <v>10</v>
      </c>
      <c r="AZ1" s="3" t="s">
        <v>11</v>
      </c>
      <c r="BA1" s="3" t="s">
        <v>6</v>
      </c>
      <c r="BB1" s="3" t="s">
        <v>7</v>
      </c>
      <c r="BC1" s="4" t="s">
        <v>8</v>
      </c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7"/>
      <c r="BP1" s="1" t="s">
        <v>9</v>
      </c>
      <c r="BQ1" s="2" t="s">
        <v>12</v>
      </c>
      <c r="BR1" s="3" t="s">
        <v>2</v>
      </c>
      <c r="BS1" s="3" t="s">
        <v>3</v>
      </c>
      <c r="BT1" s="3" t="s">
        <v>10</v>
      </c>
      <c r="BU1" s="3" t="s">
        <v>11</v>
      </c>
      <c r="BV1" s="3" t="s">
        <v>6</v>
      </c>
      <c r="BW1" s="3" t="s">
        <v>7</v>
      </c>
      <c r="BX1" s="4" t="s">
        <v>8</v>
      </c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7"/>
    </row>
    <row r="2" spans="1:88">
      <c r="A2" s="8">
        <v>0.03</v>
      </c>
      <c r="B2" s="9">
        <v>0.5</v>
      </c>
      <c r="C2" s="10">
        <v>10000</v>
      </c>
      <c r="D2" s="10">
        <v>1</v>
      </c>
      <c r="E2" s="10">
        <f>D2/52</f>
        <v>1.9230769230769232E-2</v>
      </c>
      <c r="F2" s="10">
        <v>1000</v>
      </c>
      <c r="G2" s="11">
        <f>(C2/2/F2)*(C2/2)</f>
        <v>25000</v>
      </c>
      <c r="H2" s="9">
        <v>0.1</v>
      </c>
      <c r="I2" s="12">
        <f>D2/52</f>
        <v>1.9230769230769232E-2</v>
      </c>
      <c r="K2" s="13"/>
      <c r="O2" s="14"/>
      <c r="P2" s="15"/>
      <c r="U2" s="10" t="s">
        <v>13</v>
      </c>
      <c r="V2" s="10"/>
      <c r="W2" s="10"/>
      <c r="X2" s="10"/>
      <c r="Y2" s="14"/>
      <c r="Z2" s="8">
        <v>0.03</v>
      </c>
      <c r="AA2" s="9">
        <v>1</v>
      </c>
      <c r="AB2" s="10">
        <v>10000</v>
      </c>
      <c r="AC2" s="10">
        <v>1</v>
      </c>
      <c r="AD2" s="10">
        <f>1/52</f>
        <v>1.9230769230769232E-2</v>
      </c>
      <c r="AE2" s="10">
        <v>1000</v>
      </c>
      <c r="AF2" s="11">
        <f>(AB2/2/AE2)*(AB2/2)</f>
        <v>25000</v>
      </c>
      <c r="AG2" s="9">
        <v>0.1</v>
      </c>
      <c r="AH2" s="12">
        <f>AC2/52</f>
        <v>1.9230769230769232E-2</v>
      </c>
      <c r="AT2" s="10" t="s">
        <v>14</v>
      </c>
      <c r="AU2" s="8">
        <v>0.03</v>
      </c>
      <c r="AV2" s="9">
        <v>1.5</v>
      </c>
      <c r="AW2" s="10">
        <v>10000</v>
      </c>
      <c r="AX2" s="10">
        <v>1</v>
      </c>
      <c r="AY2" s="10">
        <v>1.9230769230769232E-2</v>
      </c>
      <c r="AZ2" s="10">
        <v>1000</v>
      </c>
      <c r="BA2" s="11">
        <v>25000</v>
      </c>
      <c r="BB2" s="9">
        <v>0.1</v>
      </c>
      <c r="BC2" s="12">
        <v>1.9230769230769232E-2</v>
      </c>
      <c r="BO2" s="10" t="s">
        <v>15</v>
      </c>
      <c r="BP2" s="8">
        <v>0.03</v>
      </c>
      <c r="BQ2" s="9">
        <v>2</v>
      </c>
      <c r="BR2" s="10">
        <v>10000</v>
      </c>
      <c r="BS2" s="10">
        <v>1</v>
      </c>
      <c r="BT2" s="10">
        <v>1.9230769230769232E-2</v>
      </c>
      <c r="BU2" s="10">
        <v>1000</v>
      </c>
      <c r="BV2" s="11">
        <v>25000</v>
      </c>
      <c r="BW2" s="9">
        <v>0.1</v>
      </c>
      <c r="BX2" s="12">
        <v>1.9230769230769232E-2</v>
      </c>
      <c r="CJ2" s="10" t="s">
        <v>16</v>
      </c>
    </row>
    <row r="3" spans="1:88" ht="36">
      <c r="A3" s="1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17" t="s">
        <v>17</v>
      </c>
      <c r="P3" s="18"/>
      <c r="Q3" s="18"/>
      <c r="R3" s="18"/>
      <c r="S3" s="19"/>
      <c r="T3" s="6"/>
      <c r="U3" s="20" t="s">
        <v>18</v>
      </c>
      <c r="V3" s="21"/>
      <c r="W3" s="22"/>
      <c r="X3" s="22"/>
      <c r="Y3" s="23" t="s">
        <v>19</v>
      </c>
      <c r="Z3" s="1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20" t="s">
        <v>18</v>
      </c>
      <c r="AU3" s="24" t="s">
        <v>20</v>
      </c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7"/>
      <c r="BP3" s="24" t="s">
        <v>20</v>
      </c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7"/>
    </row>
    <row r="4" spans="1:88" ht="54">
      <c r="A4" s="25" t="s">
        <v>21</v>
      </c>
      <c r="B4" s="26" t="s">
        <v>22</v>
      </c>
      <c r="C4" s="27" t="s">
        <v>23</v>
      </c>
      <c r="D4" s="27" t="s">
        <v>24</v>
      </c>
      <c r="E4" s="27" t="s">
        <v>25</v>
      </c>
      <c r="F4" s="27" t="s">
        <v>26</v>
      </c>
      <c r="G4" s="20" t="s">
        <v>27</v>
      </c>
      <c r="H4" s="26" t="s">
        <v>28</v>
      </c>
      <c r="I4" s="27" t="s">
        <v>29</v>
      </c>
      <c r="J4" s="27" t="s">
        <v>30</v>
      </c>
      <c r="K4" s="27" t="s">
        <v>31</v>
      </c>
      <c r="L4" s="27" t="s">
        <v>32</v>
      </c>
      <c r="M4" s="20" t="s">
        <v>33</v>
      </c>
      <c r="N4" s="26" t="s">
        <v>34</v>
      </c>
      <c r="O4" s="26" t="s">
        <v>35</v>
      </c>
      <c r="P4" s="27" t="s">
        <v>36</v>
      </c>
      <c r="Q4" s="27" t="s">
        <v>37</v>
      </c>
      <c r="R4" s="27" t="s">
        <v>38</v>
      </c>
      <c r="S4" s="20" t="s">
        <v>39</v>
      </c>
      <c r="T4" s="26" t="s">
        <v>40</v>
      </c>
      <c r="U4" s="20" t="s">
        <v>41</v>
      </c>
      <c r="V4" s="26"/>
      <c r="W4" s="27"/>
      <c r="X4" s="27"/>
      <c r="Y4" s="20"/>
      <c r="Z4" s="25" t="s">
        <v>42</v>
      </c>
      <c r="AA4" s="28" t="s">
        <v>43</v>
      </c>
      <c r="AB4" s="28" t="s">
        <v>44</v>
      </c>
      <c r="AC4" s="28" t="s">
        <v>45</v>
      </c>
      <c r="AD4" s="28" t="s">
        <v>46</v>
      </c>
      <c r="AE4" s="28" t="s">
        <v>47</v>
      </c>
      <c r="AF4" s="28" t="s">
        <v>48</v>
      </c>
      <c r="AG4" s="28" t="s">
        <v>28</v>
      </c>
      <c r="AH4" s="28" t="s">
        <v>49</v>
      </c>
      <c r="AI4" s="28" t="s">
        <v>50</v>
      </c>
      <c r="AJ4" s="28" t="s">
        <v>51</v>
      </c>
      <c r="AK4" s="28" t="s">
        <v>52</v>
      </c>
      <c r="AL4" s="28" t="s">
        <v>53</v>
      </c>
      <c r="AM4" s="28" t="s">
        <v>54</v>
      </c>
      <c r="AN4" s="28" t="s">
        <v>55</v>
      </c>
      <c r="AO4" s="28" t="s">
        <v>56</v>
      </c>
      <c r="AP4" s="28" t="s">
        <v>57</v>
      </c>
      <c r="AQ4" s="28" t="s">
        <v>58</v>
      </c>
      <c r="AR4" s="28" t="s">
        <v>59</v>
      </c>
      <c r="AS4" s="28" t="s">
        <v>40</v>
      </c>
      <c r="AT4" s="29" t="s">
        <v>60</v>
      </c>
      <c r="AU4" s="25" t="s">
        <v>42</v>
      </c>
      <c r="AV4" s="28" t="s">
        <v>43</v>
      </c>
      <c r="AW4" s="28" t="s">
        <v>44</v>
      </c>
      <c r="AX4" s="28" t="s">
        <v>45</v>
      </c>
      <c r="AY4" s="28" t="s">
        <v>46</v>
      </c>
      <c r="AZ4" s="28" t="s">
        <v>47</v>
      </c>
      <c r="BA4" s="28" t="s">
        <v>48</v>
      </c>
      <c r="BB4" s="28" t="s">
        <v>28</v>
      </c>
      <c r="BC4" s="28" t="s">
        <v>49</v>
      </c>
      <c r="BD4" s="28" t="s">
        <v>50</v>
      </c>
      <c r="BE4" s="28" t="s">
        <v>51</v>
      </c>
      <c r="BF4" s="28" t="s">
        <v>52</v>
      </c>
      <c r="BG4" s="28" t="s">
        <v>53</v>
      </c>
      <c r="BH4" s="28" t="s">
        <v>54</v>
      </c>
      <c r="BI4" s="28" t="s">
        <v>55</v>
      </c>
      <c r="BJ4" s="28" t="s">
        <v>56</v>
      </c>
      <c r="BK4" s="28" t="s">
        <v>57</v>
      </c>
      <c r="BL4" s="28" t="s">
        <v>58</v>
      </c>
      <c r="BM4" s="28" t="s">
        <v>59</v>
      </c>
      <c r="BN4" s="28" t="s">
        <v>40</v>
      </c>
      <c r="BO4" s="29" t="s">
        <v>60</v>
      </c>
      <c r="BP4" s="25" t="s">
        <v>42</v>
      </c>
      <c r="BQ4" s="28" t="s">
        <v>43</v>
      </c>
      <c r="BR4" s="28" t="s">
        <v>44</v>
      </c>
      <c r="BS4" s="28" t="s">
        <v>45</v>
      </c>
      <c r="BT4" s="28" t="s">
        <v>46</v>
      </c>
      <c r="BU4" s="28" t="s">
        <v>47</v>
      </c>
      <c r="BV4" s="28" t="s">
        <v>48</v>
      </c>
      <c r="BW4" s="28" t="s">
        <v>28</v>
      </c>
      <c r="BX4" s="28" t="s">
        <v>49</v>
      </c>
      <c r="BY4" s="28" t="s">
        <v>50</v>
      </c>
      <c r="BZ4" s="28" t="s">
        <v>51</v>
      </c>
      <c r="CA4" s="28" t="s">
        <v>52</v>
      </c>
      <c r="CB4" s="28" t="s">
        <v>53</v>
      </c>
      <c r="CC4" s="28" t="s">
        <v>54</v>
      </c>
      <c r="CD4" s="28" t="s">
        <v>55</v>
      </c>
      <c r="CE4" s="28" t="s">
        <v>56</v>
      </c>
      <c r="CF4" s="28" t="s">
        <v>57</v>
      </c>
      <c r="CG4" s="28" t="s">
        <v>58</v>
      </c>
      <c r="CH4" s="28" t="s">
        <v>59</v>
      </c>
      <c r="CI4" s="28" t="s">
        <v>40</v>
      </c>
      <c r="CJ4" s="29" t="s">
        <v>43</v>
      </c>
    </row>
    <row r="5" spans="1:88">
      <c r="A5" s="30">
        <f>A12/10</f>
        <v>10</v>
      </c>
      <c r="B5" s="30">
        <f t="shared" ref="B5:B41" si="0">$C$2*(1/2*EXP(-$A$2*$E$2)+(A5/(2*$F$2))-SQRT(A5/$F$2)*EXP(-(($A$2/2)+($B$2^2/8))*$E$2))</f>
        <v>4048.0052442134383</v>
      </c>
      <c r="C5" s="31">
        <f>(1/(2*F2)-1/(2*SQRT(F2*A5))*EXP(-((A2/2)+(B2^2/8))*E2))*C2</f>
        <v>-44.955548617127072</v>
      </c>
      <c r="D5" s="31">
        <f>(C2/(4*SQRT(F2)*A5^(3/2))*EXP((-((A2/2)+(B2^2/8))*E2)))</f>
        <v>2.4977774308563525</v>
      </c>
      <c r="E5" s="31">
        <f>(C2*((B2*E2)/4)*SQRT(A5/F2)*EXP(-((A2/2)+(B2^2/8))*E2)/100)</f>
        <v>2.4017090681311096E-2</v>
      </c>
      <c r="F5" s="31">
        <f>(C2*((A2/2)*EXP(-A2*E2)-SQRT((A5/F2))*((A2/2)+(B2^2/8))*EXP(-((A2/2)+(B2^2/8))*E2)))/365</f>
        <v>0.28412220281051193</v>
      </c>
      <c r="G5" s="32">
        <f>(-((C2*E2)/2)*EXP(-A2*E2)+((C2*E2)/2)*SQRT(A5/F2)*EXP(-((A2/2)+(B2^2/8))*E2))/100</f>
        <v>-0.86491552507398273</v>
      </c>
      <c r="H5" s="30">
        <f>C2*((SQRT(A5/$F$2))+($H$2*$E$2))</f>
        <v>1019.2307692307692</v>
      </c>
      <c r="I5" s="31">
        <f>($C$2/(2*SQRT($F$2*A5)))*EXP(-($A$2/2+$B$2^2/8)*$E$2)</f>
        <v>49.955548617127072</v>
      </c>
      <c r="J5" s="31">
        <f>-C2/(4*SQRT(F2)*A5^(3/2))*EXP(-(A2/2+B2^2/8)*E2)</f>
        <v>-2.4977774308563525</v>
      </c>
      <c r="K5" s="31">
        <f>(-C2*((E2*B2)/4)*SQRT(A5/F2)*EXP(-(A2/2+B2^2/8)*E2))/100</f>
        <v>-2.4017090681311096E-2</v>
      </c>
      <c r="L5" s="31">
        <f>(C2*(SQRT(A5/F2)*((A2/2)+(B2^2/8))*EXP(-((A2/2)+(B2^2/8))*E2)+(A2*H2*E2*EXP(-A2*E2)))/365)</f>
        <v>0.12817937754389611</v>
      </c>
      <c r="M5" s="32">
        <f>-C2*(E2/2*SQRT(A5/F2)*EXP(-(A2/2+B2^2/8)*E2)+E2*H2*I2*EXP(-A2*E2))/100</f>
        <v>-9.9764454601395228E-2</v>
      </c>
      <c r="N5" s="30">
        <f>B5+H5-$B$20</f>
        <v>5061.2295203136418</v>
      </c>
      <c r="O5" s="33">
        <f>C5+I5</f>
        <v>5</v>
      </c>
      <c r="P5" s="31">
        <f>D5+J5</f>
        <v>0</v>
      </c>
      <c r="Q5" s="31">
        <f>E5+K5</f>
        <v>0</v>
      </c>
      <c r="R5" s="31">
        <f>F5+L5</f>
        <v>0.412301580354408</v>
      </c>
      <c r="S5" s="32">
        <f>G5+M5</f>
        <v>-0.964679979675378</v>
      </c>
      <c r="T5" s="34">
        <f>((SQRT(G2/A5)*A5+SQRT(G2*A5))/((C2/F2/2)*A5+C2/2))-1</f>
        <v>-0.80198019801980203</v>
      </c>
      <c r="U5" s="35">
        <f>$C$2*(1/2*EXP(-$A$2*$E$2)+(A5/(2*$F$2))-SQRT(A5/$F$2)*EXP(-(($A$2/2)+($B$2^2/8))*$E$2))-$B$20</f>
        <v>4041.9987510828723</v>
      </c>
      <c r="V5" s="36">
        <f>SQRT(A5/$F$2)</f>
        <v>0.1</v>
      </c>
      <c r="W5" s="14">
        <f>EXP(-$E$2*(($A$2/2)+($B$2^2)/8))</f>
        <v>0.99911097234254143</v>
      </c>
      <c r="X5" s="15">
        <f>$H$2*$D$2*EXP(-$A$2*$I$2)</f>
        <v>9.9942324331119603E-2</v>
      </c>
      <c r="Y5" s="35">
        <f>$C$2*(V5*W5+X5)</f>
        <v>1998.5342156537374</v>
      </c>
      <c r="Z5" s="30">
        <f>Z12/10</f>
        <v>10</v>
      </c>
      <c r="AA5" s="37">
        <f>$AB$2*(1/2*EXP(-$Z$2*$AD$2)+(Z5/(2*$AE$2))-SQRT(Z5/$AE$2)*EXP(-(($Z$2/2)+($AA$2^2/8))*$AD$2))</f>
        <v>4049.804903238286</v>
      </c>
      <c r="AB5" s="31">
        <f>(1/(2*$AE$2)-1/(2*SQRT($AE$2*Z5))*EXP(-(($Z$2/2)+($AA$2^2/8))*$AD$2))*$AB$2</f>
        <v>-44.865565665884695</v>
      </c>
      <c r="AC5" s="31">
        <f>($AB$2/(4*SQRT($AE$2)*Z5^(3/2))*EXP((-(($Z$2/2)+($AA$2^2/8))*$AD$2)))</f>
        <v>2.4932782832942344</v>
      </c>
      <c r="AD5" s="31">
        <f>($AB$2*(($AA$2*$AD$2)/4)*SQRT(Z5/$AE$2)*EXP(-(($Z$2/2)+($AA$2^2/8))*$AD$2)/100)</f>
        <v>4.794765929411992E-2</v>
      </c>
      <c r="AE5" s="31">
        <f>($AB$2*(($Z$2/2)*EXP(-$Z$2*$AD$2)-SQRT((Z5/$AE$2))*(($Z$2/2)+($AA$2^2/8))*EXP(-(($Z$2/2)+($AA$2^2/8))*$AD$2)))/365</f>
        <v>2.8191514060827955E-2</v>
      </c>
      <c r="AF5" s="31">
        <f>(-(($AB$2*$AD$2)/2)*EXP(-$Z$2*$AD$2)+(($AB$2*$AD$2)/2)*SQRT(Z5/$AE$2)*EXP(-(($Z$2/2)+($AA$2^2/8))*$AD$2))/100</f>
        <v>-0.86508856921098709</v>
      </c>
      <c r="AG5" s="37">
        <f>$AB$2*((SQRT(Z5/$AE$2))+($AG$2*$AD$2))</f>
        <v>1019.2307692307692</v>
      </c>
      <c r="AH5" s="31">
        <f>($AB$2/(2*SQRT($AE$2*Z5)))*EXP(-($Z$2/2+$AA$2^2/8)*$AD$2)</f>
        <v>49.865565665884702</v>
      </c>
      <c r="AI5" s="31">
        <f>-$AB$2/(4*SQRT($AE$2)*Z5^(3/2))*EXP(-($Z$2/2+$AA$2^2/8)*$AD$2)</f>
        <v>-2.4932782832942344</v>
      </c>
      <c r="AJ5" s="31">
        <f>(-$AB$2*(($AD$2*$AA$2)/4)*SQRT(Z5/$AE$2)*EXP(-($Z$2/2+$AA$2^2/8)*$AD$2))/100</f>
        <v>-4.794765929411992E-2</v>
      </c>
      <c r="AK5" s="31">
        <f>($AB$2*(SQRT(Z5/$AE$2)*(($Z$2/2)+($AA$2^2/8))*EXP(-(($Z$2/2)+($AA$2^2/8))*$AD$2)+($Z$2*$AG$2*$AD$2*EXP(-$Z$2*$AD$2)))/365)</f>
        <v>0.38411006629358013</v>
      </c>
      <c r="AL5" s="31">
        <f>-$AB$2*($AD$2/2*SQRT(Z5/$AE$2)*EXP(-($Z$2/2+$AA$2^2/8)*$AD$2)+$AD$2*$AG$2*$AH$2*EXP(-$Z$2*$AD$2))/100</f>
        <v>-9.9591410464390684E-2</v>
      </c>
      <c r="AM5" s="37">
        <f>AA5+AG5-$AA$20</f>
        <v>5045.0325890900158</v>
      </c>
      <c r="AN5" s="31">
        <f>AB5+AH5</f>
        <v>5.0000000000000071</v>
      </c>
      <c r="AO5" s="31">
        <f>AC5+AI5</f>
        <v>0</v>
      </c>
      <c r="AP5" s="31">
        <f>AD5+AJ5</f>
        <v>0</v>
      </c>
      <c r="AQ5" s="31">
        <f>AE5+AK5</f>
        <v>0.41230158035440811</v>
      </c>
      <c r="AR5" s="31">
        <f>AF5+AL5</f>
        <v>-0.96467997967537777</v>
      </c>
      <c r="AS5" s="38">
        <f>((SQRT($AF$2/Z5)*Z5+SQRT($AF$2*Z5))/(($AB$2/$AE$2/2)*Z5+$AB$2/2))-1</f>
        <v>-0.80198019801980203</v>
      </c>
      <c r="AT5" s="35">
        <f>$AB$2*(1/2*EXP(-$Z$2*$AD$2)+(Z5/(2*$AE$2))-SQRT(Z5/$AE$2)*EXP(-(($Z$2/2)+($AA$2^2/8))*$AD$2))-$AA$20</f>
        <v>4025.8018198592467</v>
      </c>
      <c r="AU5" s="30">
        <v>10</v>
      </c>
      <c r="AV5" s="37">
        <v>4052.7971341535613</v>
      </c>
      <c r="AW5" s="31">
        <v>-44.715954120120927</v>
      </c>
      <c r="AX5" s="31">
        <v>2.4857977060060459</v>
      </c>
      <c r="AY5" s="31">
        <v>7.1705703057866735E-2</v>
      </c>
      <c r="AZ5" s="31">
        <v>-0.39631107305489638</v>
      </c>
      <c r="BA5" s="31">
        <v>-0.86537628372207143</v>
      </c>
      <c r="BB5" s="37">
        <v>1019.2307692307692</v>
      </c>
      <c r="BC5" s="31">
        <v>49.715954120120934</v>
      </c>
      <c r="BD5" s="31">
        <v>-2.4857977060060459</v>
      </c>
      <c r="BE5" s="31">
        <v>-7.1705703057866735E-2</v>
      </c>
      <c r="BF5" s="31">
        <v>0.80861265340930433</v>
      </c>
      <c r="BG5" s="31">
        <v>-9.9303695953306528E-2</v>
      </c>
      <c r="BH5" s="37">
        <v>5018.1025108525382</v>
      </c>
      <c r="BI5" s="31">
        <v>5.0000000000000071</v>
      </c>
      <c r="BJ5" s="31">
        <v>0</v>
      </c>
      <c r="BK5" s="31">
        <v>0</v>
      </c>
      <c r="BL5" s="31">
        <v>0.41230158035440795</v>
      </c>
      <c r="BM5" s="31">
        <v>-0.964679979675378</v>
      </c>
      <c r="BN5" s="38">
        <v>-0.80198019801980203</v>
      </c>
      <c r="BO5" s="35">
        <v>3998.8717416217683</v>
      </c>
      <c r="BP5" s="30">
        <v>10</v>
      </c>
      <c r="BQ5" s="37">
        <v>4056.9711811304828</v>
      </c>
      <c r="BR5" s="31">
        <v>-44.507251771274873</v>
      </c>
      <c r="BS5" s="31">
        <v>2.4753625885637427</v>
      </c>
      <c r="BT5" s="31">
        <v>9.5206253406297833E-2</v>
      </c>
      <c r="BU5" s="31">
        <v>-0.98633207328068984</v>
      </c>
      <c r="BV5" s="31">
        <v>-0.86577763439292921</v>
      </c>
      <c r="BW5" s="37">
        <v>1019.2307692307692</v>
      </c>
      <c r="BX5" s="31">
        <v>49.507251771274866</v>
      </c>
      <c r="BY5" s="31">
        <v>-2.4753625885637427</v>
      </c>
      <c r="BZ5" s="31">
        <v>-9.5206253406297833E-2</v>
      </c>
      <c r="CA5" s="31">
        <v>1.3986336536350978</v>
      </c>
      <c r="CB5" s="31">
        <v>-9.8902345282448692E-2</v>
      </c>
      <c r="CC5" s="37">
        <v>4980.5360880602457</v>
      </c>
      <c r="CD5" s="31">
        <v>4.9999999999999929</v>
      </c>
      <c r="CE5" s="31">
        <v>0</v>
      </c>
      <c r="CF5" s="31">
        <v>0</v>
      </c>
      <c r="CG5" s="31">
        <v>0.412301580354408</v>
      </c>
      <c r="CH5" s="31">
        <v>-0.96467997967537789</v>
      </c>
      <c r="CI5" s="38">
        <v>-0.80198019801980203</v>
      </c>
      <c r="CJ5" s="35">
        <v>3961.3053188294762</v>
      </c>
    </row>
    <row r="6" spans="1:88">
      <c r="A6" s="30">
        <f>($A$12-$A$5)/7+A5</f>
        <v>22.857142857142858</v>
      </c>
      <c r="B6" s="30">
        <f>$C$2*(1/2*EXP(-$A$2*$E$2)+(A6/(2*$F$2))-SQRT(A6/$F$2)*EXP(-(($A$2/2)+($B$2^2/8))*$E$2))</f>
        <v>3600.8881222849536</v>
      </c>
      <c r="C6" s="31">
        <f t="shared" ref="C6:C41" si="1">(1/(2*$F$2)-1/(2*SQRT($F$2*A6))*EXP(-(($A$2/2)+($B$2^2/8))*$E$2))*$C$2</f>
        <v>-28.042489562178716</v>
      </c>
      <c r="D6" s="31">
        <f t="shared" ref="D6:D41" si="2">($C$2/(4*SQRT($F$2)*A6^(3/2))*EXP((-(($A$2/2)+($B$2^2/8))*$E$2)))</f>
        <v>0.72280445917265912</v>
      </c>
      <c r="E6" s="31">
        <f t="shared" ref="E6:E41" si="3">($C$2*(($B$2*$E$2)/4)*SQRT(A6/$F$2)*EXP(-(($A$2/2)+($B$2^2/8))*$E$2)/100)</f>
        <v>3.6310428090306275E-2</v>
      </c>
      <c r="F6" s="31">
        <f t="shared" ref="F6:F41" si="4">($C$2*(($A$2/2)*EXP(-$A$2*$E$2)-SQRT((A6/$F$2))*(($A$2/2)+($B$2^2/8))*EXP(-(($A$2/2)+($B$2^2/8))*$E$2)))/365</f>
        <v>0.21932115849569891</v>
      </c>
      <c r="G6" s="32">
        <f t="shared" ref="G6:G41" si="5">(-(($C$2*$E$2)/2)*EXP(-$A$2*$E$2)+(($C$2*$E$2)/2)*SQRT(A6/$F$2)*EXP(-(($A$2/2)+($B$2^2/8))*$E$2))/100</f>
        <v>-0.81574217543800187</v>
      </c>
      <c r="H6" s="30">
        <f t="shared" ref="H6:H41" si="6">$C$2*((SQRT(A6/$F$2))+($H$2*$E$2))</f>
        <v>1531.0886612676779</v>
      </c>
      <c r="I6" s="31">
        <f t="shared" ref="I6:I41" si="7">($C$2/(2*SQRT($F$2*A6)))*EXP(-($A$2/2+$B$2^2/8)*$E$2)</f>
        <v>33.042489562178716</v>
      </c>
      <c r="J6" s="31">
        <f t="shared" ref="J6:J41" si="8">-$C$2/(4*SQRT($F$2)*A6^(3/2))*EXP(-($A$2/2+$B$2^2/8)*$E$2)</f>
        <v>-0.72280445917265912</v>
      </c>
      <c r="K6" s="31">
        <f t="shared" ref="K6:K41" si="9">(-$C$2*(($E$2*$B$2)/4)*SQRT(A6/$F$2)*EXP(-($A$2/2+$B$2^2/8)*$E$2))/100</f>
        <v>-3.6310428090306275E-2</v>
      </c>
      <c r="L6" s="31">
        <f t="shared" ref="L6:L41" si="10">($C$2*(SQRT(A6/$F$2)*(($A$2/2)+($B$2^2/8))*EXP(-(($A$2/2)+($B$2^2/8))*$E$2)+($A$2*$H$2*$E$2*EXP(-$A$2*$E$2)))/365)</f>
        <v>0.19298042185870906</v>
      </c>
      <c r="M6" s="32">
        <f t="shared" ref="M6:M41" si="11">-$C$2*($E$2/2*SQRT(A6/$F$2)*EXP(-($A$2/2+$B$2^2/8)*$E$2)+$E$2*$H$2*$I$2*EXP(-$A$2*$E$2))/100</f>
        <v>-0.14893780423737596</v>
      </c>
      <c r="N6" s="30">
        <f t="shared" ref="N6:N41" si="12">B6+H6-$B$20</f>
        <v>5125.9702904220658</v>
      </c>
      <c r="O6" s="33">
        <f t="shared" ref="O6:S41" si="13">C6+I6</f>
        <v>5</v>
      </c>
      <c r="P6" s="31">
        <f t="shared" si="13"/>
        <v>0</v>
      </c>
      <c r="Q6" s="31">
        <f t="shared" si="13"/>
        <v>0</v>
      </c>
      <c r="R6" s="31">
        <f t="shared" si="13"/>
        <v>0.412301580354408</v>
      </c>
      <c r="S6" s="32">
        <f t="shared" si="13"/>
        <v>-0.96467997967537777</v>
      </c>
      <c r="T6" s="34">
        <f t="shared" ref="T6:T41" si="14">((SQRT($G$2/A6)*A6+SQRT($G$2*A6))/(($C$2/$F$2/2)*A6+$C$2/2))-1</f>
        <v>-0.70438532837267143</v>
      </c>
      <c r="U6" s="35">
        <f t="shared" ref="U6:U41" si="15">$C$2*(1/2*EXP(-$A$2*$E$2)+(A6/(2*$F$2))-SQRT(A6/$F$2)*EXP(-(($A$2/2)+($B$2^2/8))*$E$2))-$B$20</f>
        <v>3594.8816291543876</v>
      </c>
      <c r="V6" s="36">
        <f t="shared" ref="V6:V41" si="16">SQRT(A6/$F$2)</f>
        <v>0.15118578920369088</v>
      </c>
      <c r="W6" s="14">
        <f t="shared" ref="W6:W41" si="17">EXP(-$E$2*(($A$2/2)+($B$2^2)/8))</f>
        <v>0.99911097234254143</v>
      </c>
      <c r="X6" s="15">
        <f t="shared" ref="X6:X41" si="18">$H$2*$D$2*EXP(-$A$2*$I$2)</f>
        <v>9.9942324331119603E-2</v>
      </c>
      <c r="Y6" s="35">
        <f t="shared" ref="Y6:Y41" si="19">$C$2*(V6*W6+X6)</f>
        <v>2509.937051867937</v>
      </c>
      <c r="Z6" s="30">
        <f>($A$12-$A$5)/7+Z5</f>
        <v>22.857142857142858</v>
      </c>
      <c r="AA6" s="37">
        <f t="shared" ref="AA6:AA41" si="20">$AB$2*(1/2*EXP(-$Z$2*$AD$2)+(Z6/(2*$AE$2))-SQRT(Z6/$AE$2)*EXP(-(($Z$2/2)+($AA$2^2/8))*$AD$2))</f>
        <v>3603.6089509846447</v>
      </c>
      <c r="AB6" s="31">
        <f t="shared" ref="AB6:AB41" si="21">(1/(2*$AE$2)-1/(2*SQRT($AE$2*Z6))*EXP(-(($Z$2/2)+($AA$2^2/8))*$AD$2))*$AB$2</f>
        <v>-27.982971434372974</v>
      </c>
      <c r="AC6" s="31">
        <f t="shared" ref="AC6:AC41" si="22">($AB$2/(4*SQRT($AE$2)*Z6^(3/2))*EXP((-(($Z$2/2)+($AA$2^2/8))*$AD$2)))</f>
        <v>0.72150250012690853</v>
      </c>
      <c r="AD6" s="31">
        <f t="shared" ref="AD6:AD41" si="23">($AB$2*(($AA$2*$AD$2)/4)*SQRT(Z6/$AE$2)*EXP(-(($Z$2/2)+($AA$2^2/8))*$AD$2)/100)</f>
        <v>7.2490047108512035E-2</v>
      </c>
      <c r="AE6" s="31">
        <f t="shared" ref="AE6:AE41" si="24">($AB$2*(($Z$2/2)*EXP(-$Z$2*$AD$2)-SQRT((Z6/$AE$2))*(($Z$2/2)+($AA$2^2/8))*EXP(-(($Z$2/2)+($AA$2^2/8))*$AD$2)))/365</f>
        <v>-0.16760967310495245</v>
      </c>
      <c r="AF6" s="31">
        <f t="shared" ref="AF6:AF41" si="25">(-(($AB$2*$AD$2)/2)*EXP(-$Z$2*$AD$2)+(($AB$2*$AD$2)/2)*SQRT(Z6/$AE$2)*EXP(-(($Z$2/2)+($AA$2^2/8))*$AD$2))/100</f>
        <v>-0.81600379358220299</v>
      </c>
      <c r="AG6" s="37">
        <f t="shared" ref="AG6:AG41" si="26">$AB$2*((SQRT(Z6/$AE$2))+($AG$2*$AD$2))</f>
        <v>1531.0886612676779</v>
      </c>
      <c r="AH6" s="31">
        <f t="shared" ref="AH6:AH41" si="27">($AB$2/(2*SQRT($AE$2*Z6)))*EXP(-($Z$2/2+$AA$2^2/8)*$AD$2)</f>
        <v>32.982971434372978</v>
      </c>
      <c r="AI6" s="31">
        <f t="shared" ref="AI6:AI41" si="28">-$AB$2/(4*SQRT($AE$2)*Z6^(3/2))*EXP(-($Z$2/2+$AA$2^2/8)*$AD$2)</f>
        <v>-0.72150250012690853</v>
      </c>
      <c r="AJ6" s="31">
        <f t="shared" ref="AJ6:AJ41" si="29">(-$AB$2*(($AD$2*$AA$2)/4)*SQRT(Z6/$AE$2)*EXP(-($Z$2/2+$AA$2^2/8)*$AD$2))/100</f>
        <v>-7.2490047108512035E-2</v>
      </c>
      <c r="AK6" s="31">
        <f t="shared" ref="AK6:AK41" si="30">($AB$2*(SQRT(Z6/$AE$2)*(($Z$2/2)+($AA$2^2/8))*EXP(-(($Z$2/2)+($AA$2^2/8))*$AD$2)+($Z$2*$AG$2*$AD$2*EXP(-$Z$2*$AD$2)))/365)</f>
        <v>0.57991125345936045</v>
      </c>
      <c r="AL6" s="31">
        <f t="shared" ref="AL6:AL41" si="31">-$AB$2*($AD$2/2*SQRT(Z6/$AE$2)*EXP(-($Z$2/2+$AA$2^2/8)*$AD$2)+$AD$2*$AG$2*$AH$2*EXP(-$Z$2*$AD$2))/100</f>
        <v>-0.1486761860931749</v>
      </c>
      <c r="AM6" s="37">
        <f t="shared" ref="AM6:AM41" si="32">AA6+AG6-$AA$20</f>
        <v>5110.6945288732832</v>
      </c>
      <c r="AN6" s="31">
        <f t="shared" ref="AN6:AR41" si="33">AB6+AH6</f>
        <v>5.0000000000000036</v>
      </c>
      <c r="AO6" s="31">
        <f t="shared" si="33"/>
        <v>0</v>
      </c>
      <c r="AP6" s="31">
        <f t="shared" si="33"/>
        <v>0</v>
      </c>
      <c r="AQ6" s="31">
        <f t="shared" si="33"/>
        <v>0.412301580354408</v>
      </c>
      <c r="AR6" s="31">
        <f t="shared" si="33"/>
        <v>-0.96467997967537789</v>
      </c>
      <c r="AS6" s="38">
        <f t="shared" ref="AS6:AS41" si="34">((SQRT($AF$2/Z6)*Z6+SQRT($AF$2*Z6))/(($AB$2/$AE$2/2)*Z6+$AB$2/2))-1</f>
        <v>-0.70438532837267143</v>
      </c>
      <c r="AT6" s="35">
        <f t="shared" ref="AT6:AT41" si="35">$AB$2*(1/2*EXP(-$Z$2*$AD$2)+(Z6/(2*$AE$2))-SQRT(Z6/$AE$2)*EXP(-(($Z$2/2)+($AA$2^2/8))*$AD$2))-$AA$20</f>
        <v>3579.6058676056055</v>
      </c>
      <c r="AU6" s="30">
        <v>22.857142857142858</v>
      </c>
      <c r="AV6" s="37">
        <v>3608.1327789087004</v>
      </c>
      <c r="AW6" s="31">
        <v>-27.884012698534253</v>
      </c>
      <c r="AX6" s="31">
        <v>0.7193377777804365</v>
      </c>
      <c r="AY6" s="31">
        <v>0.10840883307209094</v>
      </c>
      <c r="AZ6" s="31">
        <v>-0.80939725962594566</v>
      </c>
      <c r="BA6" s="31">
        <v>-0.81643877703643908</v>
      </c>
      <c r="BB6" s="37">
        <v>1531.0886612676779</v>
      </c>
      <c r="BC6" s="31">
        <v>32.884012698534256</v>
      </c>
      <c r="BD6" s="31">
        <v>-0.7193377777804365</v>
      </c>
      <c r="BE6" s="31">
        <v>-0.10840883307209094</v>
      </c>
      <c r="BF6" s="31">
        <v>1.2216988399803537</v>
      </c>
      <c r="BG6" s="31">
        <v>-0.14824120263893875</v>
      </c>
      <c r="BH6" s="37">
        <v>5085.296047644586</v>
      </c>
      <c r="BI6" s="31">
        <v>5.0000000000000036</v>
      </c>
      <c r="BJ6" s="31">
        <v>0</v>
      </c>
      <c r="BK6" s="31">
        <v>0</v>
      </c>
      <c r="BL6" s="31">
        <v>0.412301580354408</v>
      </c>
      <c r="BM6" s="31">
        <v>-0.96467997967537777</v>
      </c>
      <c r="BN6" s="38">
        <v>-0.70438532837267143</v>
      </c>
      <c r="BO6" s="35">
        <v>3554.2073863769074</v>
      </c>
      <c r="BP6" s="30">
        <v>22.857142857142858</v>
      </c>
      <c r="BQ6" s="37">
        <v>3614.4433447724923</v>
      </c>
      <c r="BR6" s="31">
        <v>-27.745969070263818</v>
      </c>
      <c r="BS6" s="31">
        <v>0.71631807341202081</v>
      </c>
      <c r="BT6" s="31">
        <v>0.14393832558357722</v>
      </c>
      <c r="BU6" s="31">
        <v>-1.7014251652848225</v>
      </c>
      <c r="BV6" s="31">
        <v>-0.81704556221564983</v>
      </c>
      <c r="BW6" s="37">
        <v>1531.0886612676779</v>
      </c>
      <c r="BX6" s="31">
        <v>32.745969070263818</v>
      </c>
      <c r="BY6" s="31">
        <v>-0.71631807341202081</v>
      </c>
      <c r="BZ6" s="31">
        <v>-0.14393832558357722</v>
      </c>
      <c r="CA6" s="31">
        <v>2.1137267456392306</v>
      </c>
      <c r="CB6" s="31">
        <v>-0.14763441745972808</v>
      </c>
      <c r="CC6" s="37">
        <v>5049.8661437391638</v>
      </c>
      <c r="CD6" s="31">
        <v>5</v>
      </c>
      <c r="CE6" s="31">
        <v>0</v>
      </c>
      <c r="CF6" s="31">
        <v>0</v>
      </c>
      <c r="CG6" s="31">
        <v>0.41230158035440811</v>
      </c>
      <c r="CH6" s="31">
        <v>-0.96467997967537789</v>
      </c>
      <c r="CI6" s="38">
        <v>-0.70438532837267143</v>
      </c>
      <c r="CJ6" s="35">
        <v>3518.7774824714857</v>
      </c>
    </row>
    <row r="7" spans="1:88">
      <c r="A7" s="30">
        <f t="shared" ref="A7:A11" si="36">($A$12-$A$5)/7+A6</f>
        <v>35.714285714285715</v>
      </c>
      <c r="B7" s="30">
        <f t="shared" si="0"/>
        <v>3287.5453844314829</v>
      </c>
      <c r="C7" s="31">
        <f t="shared" si="1"/>
        <v>-21.433991649742971</v>
      </c>
      <c r="D7" s="31">
        <f t="shared" si="2"/>
        <v>0.37007588309640155</v>
      </c>
      <c r="E7" s="31">
        <f t="shared" si="3"/>
        <v>4.5388035112882849E-2</v>
      </c>
      <c r="F7" s="31">
        <f t="shared" si="4"/>
        <v>0.17147097791641866</v>
      </c>
      <c r="G7" s="32">
        <f t="shared" si="5"/>
        <v>-0.7794317473476956</v>
      </c>
      <c r="H7" s="30">
        <f t="shared" si="6"/>
        <v>1909.0531342769052</v>
      </c>
      <c r="I7" s="31">
        <f t="shared" si="7"/>
        <v>26.433991649742968</v>
      </c>
      <c r="J7" s="31">
        <f t="shared" si="8"/>
        <v>-0.37007588309640155</v>
      </c>
      <c r="K7" s="31">
        <f t="shared" si="9"/>
        <v>-4.5388035112882849E-2</v>
      </c>
      <c r="L7" s="31">
        <f t="shared" si="10"/>
        <v>0.24083060243798937</v>
      </c>
      <c r="M7" s="32">
        <f t="shared" si="11"/>
        <v>-0.18524823232768223</v>
      </c>
      <c r="N7" s="30">
        <f t="shared" si="12"/>
        <v>5190.5920255778219</v>
      </c>
      <c r="O7" s="33">
        <f t="shared" si="13"/>
        <v>4.9999999999999964</v>
      </c>
      <c r="P7" s="31">
        <f t="shared" si="13"/>
        <v>0</v>
      </c>
      <c r="Q7" s="31">
        <f t="shared" si="13"/>
        <v>0</v>
      </c>
      <c r="R7" s="31">
        <f t="shared" si="13"/>
        <v>0.412301580354408</v>
      </c>
      <c r="S7" s="32">
        <f t="shared" si="13"/>
        <v>-0.96467997967537777</v>
      </c>
      <c r="T7" s="34">
        <f t="shared" si="14"/>
        <v>-0.63506878468074612</v>
      </c>
      <c r="U7" s="35">
        <f t="shared" si="15"/>
        <v>3281.5388913009169</v>
      </c>
      <c r="V7" s="36">
        <f t="shared" si="16"/>
        <v>0.1889822365046136</v>
      </c>
      <c r="W7" s="14">
        <f t="shared" si="17"/>
        <v>0.99911097234254143</v>
      </c>
      <c r="X7" s="15">
        <f t="shared" si="18"/>
        <v>9.9942324331119603E-2</v>
      </c>
      <c r="Y7" s="35">
        <f t="shared" si="19"/>
        <v>2887.5655040071224</v>
      </c>
      <c r="Z7" s="30">
        <f t="shared" ref="Z7:Z11" si="37">($A$12-$A$5)/7+Z6</f>
        <v>35.714285714285715</v>
      </c>
      <c r="AA7" s="37">
        <f t="shared" si="20"/>
        <v>3290.9464203060966</v>
      </c>
      <c r="AB7" s="31">
        <f t="shared" si="21"/>
        <v>-21.386377147498379</v>
      </c>
      <c r="AC7" s="31">
        <f t="shared" si="22"/>
        <v>0.36940928006497725</v>
      </c>
      <c r="AD7" s="31">
        <f t="shared" si="23"/>
        <v>9.0612558885640043E-2</v>
      </c>
      <c r="AE7" s="31">
        <f t="shared" si="24"/>
        <v>-0.31219256158439562</v>
      </c>
      <c r="AF7" s="31">
        <f t="shared" si="25"/>
        <v>-0.77975877002794691</v>
      </c>
      <c r="AG7" s="37">
        <f t="shared" si="26"/>
        <v>1909.0531342769052</v>
      </c>
      <c r="AH7" s="31">
        <f t="shared" si="27"/>
        <v>26.386377147498376</v>
      </c>
      <c r="AI7" s="31">
        <f t="shared" si="28"/>
        <v>-0.36940928006497725</v>
      </c>
      <c r="AJ7" s="31">
        <f t="shared" si="29"/>
        <v>-9.0612558885640043E-2</v>
      </c>
      <c r="AK7" s="31">
        <f t="shared" si="30"/>
        <v>0.72449414193880368</v>
      </c>
      <c r="AL7" s="31">
        <f t="shared" si="31"/>
        <v>-0.18492120964743095</v>
      </c>
      <c r="AM7" s="37">
        <f t="shared" si="32"/>
        <v>5175.9964712039618</v>
      </c>
      <c r="AN7" s="31">
        <f t="shared" si="33"/>
        <v>4.9999999999999964</v>
      </c>
      <c r="AO7" s="31">
        <f t="shared" si="33"/>
        <v>0</v>
      </c>
      <c r="AP7" s="31">
        <f t="shared" si="33"/>
        <v>0</v>
      </c>
      <c r="AQ7" s="31">
        <f t="shared" si="33"/>
        <v>0.41230158035440806</v>
      </c>
      <c r="AR7" s="31">
        <f t="shared" si="33"/>
        <v>-0.96467997967537789</v>
      </c>
      <c r="AS7" s="38">
        <f t="shared" si="34"/>
        <v>-0.63506878468074612</v>
      </c>
      <c r="AT7" s="35">
        <f t="shared" si="35"/>
        <v>3266.9433369270573</v>
      </c>
      <c r="AU7" s="30">
        <v>35.714285714285715</v>
      </c>
      <c r="AV7" s="37">
        <v>3296.6012052111664</v>
      </c>
      <c r="AW7" s="31">
        <v>-21.307210158827402</v>
      </c>
      <c r="AX7" s="31">
        <v>0.36830094222358362</v>
      </c>
      <c r="AY7" s="31">
        <v>0.13551104134011366</v>
      </c>
      <c r="AZ7" s="31">
        <v>-1.114427044735637</v>
      </c>
      <c r="BA7" s="31">
        <v>-0.78030249934574214</v>
      </c>
      <c r="BB7" s="37">
        <v>1909.0531342769052</v>
      </c>
      <c r="BC7" s="31">
        <v>26.307210158827399</v>
      </c>
      <c r="BD7" s="31">
        <v>-0.36830094222358362</v>
      </c>
      <c r="BE7" s="31">
        <v>-0.13551104134011366</v>
      </c>
      <c r="BF7" s="31">
        <v>1.5267286250900451</v>
      </c>
      <c r="BG7" s="31">
        <v>-0.18437748032963575</v>
      </c>
      <c r="BH7" s="37">
        <v>5151.7289469562793</v>
      </c>
      <c r="BI7" s="31">
        <v>4.9999999999999964</v>
      </c>
      <c r="BJ7" s="31">
        <v>0</v>
      </c>
      <c r="BK7" s="31">
        <v>0</v>
      </c>
      <c r="BL7" s="31">
        <v>0.41230158035440811</v>
      </c>
      <c r="BM7" s="31">
        <v>-0.96467997967537789</v>
      </c>
      <c r="BN7" s="38">
        <v>-0.63506878468074612</v>
      </c>
      <c r="BO7" s="35">
        <v>3242.6758126793734</v>
      </c>
      <c r="BP7" s="30">
        <v>35.714285714285715</v>
      </c>
      <c r="BQ7" s="37">
        <v>3304.489412540906</v>
      </c>
      <c r="BR7" s="31">
        <v>-21.196775256211051</v>
      </c>
      <c r="BS7" s="31">
        <v>0.3667548535869547</v>
      </c>
      <c r="BT7" s="31">
        <v>0.17992290697947153</v>
      </c>
      <c r="BU7" s="31">
        <v>-2.2294619268092326</v>
      </c>
      <c r="BV7" s="31">
        <v>-0.7810609808197555</v>
      </c>
      <c r="BW7" s="37">
        <v>1909.0531342769052</v>
      </c>
      <c r="BX7" s="31">
        <v>26.196775256211051</v>
      </c>
      <c r="BY7" s="31">
        <v>-0.3667548535869547</v>
      </c>
      <c r="BZ7" s="31">
        <v>-0.17992290697947153</v>
      </c>
      <c r="CA7" s="31">
        <v>2.6417635071636409</v>
      </c>
      <c r="CB7" s="31">
        <v>-0.18361899885562238</v>
      </c>
      <c r="CC7" s="37">
        <v>5117.8766845168047</v>
      </c>
      <c r="CD7" s="31">
        <v>5</v>
      </c>
      <c r="CE7" s="31">
        <v>0</v>
      </c>
      <c r="CF7" s="31">
        <v>0</v>
      </c>
      <c r="CG7" s="31">
        <v>0.41230158035440834</v>
      </c>
      <c r="CH7" s="31">
        <v>-0.96467997967537789</v>
      </c>
      <c r="CI7" s="38">
        <v>-0.63506878468074612</v>
      </c>
      <c r="CJ7" s="35">
        <v>3208.8235502398993</v>
      </c>
    </row>
    <row r="8" spans="1:88">
      <c r="A8" s="30">
        <f t="shared" si="36"/>
        <v>48.571428571428569</v>
      </c>
      <c r="B8" s="30">
        <f t="shared" si="0"/>
        <v>3038.0400208646424</v>
      </c>
      <c r="C8" s="31">
        <f t="shared" si="1"/>
        <v>-17.666960837999056</v>
      </c>
      <c r="D8" s="31">
        <f t="shared" si="2"/>
        <v>0.23333636156763748</v>
      </c>
      <c r="E8" s="31">
        <f t="shared" si="3"/>
        <v>5.2931089868953854E-2</v>
      </c>
      <c r="F8" s="31">
        <f t="shared" si="4"/>
        <v>0.13170977969537584</v>
      </c>
      <c r="G8" s="32">
        <f t="shared" si="5"/>
        <v>-0.74925952832341158</v>
      </c>
      <c r="H8" s="30">
        <f t="shared" si="6"/>
        <v>2223.1234293081279</v>
      </c>
      <c r="I8" s="31">
        <f t="shared" si="7"/>
        <v>22.66696083799906</v>
      </c>
      <c r="J8" s="31">
        <f t="shared" si="8"/>
        <v>-0.23333636156763748</v>
      </c>
      <c r="K8" s="31">
        <f t="shared" si="9"/>
        <v>-5.2931089868953854E-2</v>
      </c>
      <c r="L8" s="31">
        <f t="shared" si="10"/>
        <v>0.28059180065903222</v>
      </c>
      <c r="M8" s="32">
        <f t="shared" si="11"/>
        <v>-0.21542045135196627</v>
      </c>
      <c r="N8" s="30">
        <f t="shared" si="12"/>
        <v>5255.1569570422043</v>
      </c>
      <c r="O8" s="33">
        <f t="shared" si="13"/>
        <v>5.0000000000000036</v>
      </c>
      <c r="P8" s="31">
        <f t="shared" si="13"/>
        <v>0</v>
      </c>
      <c r="Q8" s="31">
        <f t="shared" si="13"/>
        <v>0</v>
      </c>
      <c r="R8" s="31">
        <f t="shared" si="13"/>
        <v>0.41230158035440806</v>
      </c>
      <c r="S8" s="32">
        <f t="shared" si="13"/>
        <v>-0.96467997967537789</v>
      </c>
      <c r="T8" s="34">
        <f t="shared" si="14"/>
        <v>-0.57963900216508146</v>
      </c>
      <c r="U8" s="35">
        <f t="shared" si="15"/>
        <v>3032.0335277340764</v>
      </c>
      <c r="V8" s="36">
        <f t="shared" si="16"/>
        <v>0.2203892660077359</v>
      </c>
      <c r="W8" s="14">
        <f t="shared" si="17"/>
        <v>0.99911097234254143</v>
      </c>
      <c r="X8" s="15">
        <f t="shared" si="18"/>
        <v>9.9942324331119603E-2</v>
      </c>
      <c r="Y8" s="35">
        <f t="shared" si="19"/>
        <v>3201.3565818596762</v>
      </c>
      <c r="Z8" s="30">
        <f t="shared" si="37"/>
        <v>48.571428571428569</v>
      </c>
      <c r="AA8" s="37">
        <f t="shared" si="20"/>
        <v>3042.0062761801455</v>
      </c>
      <c r="AB8" s="31">
        <f t="shared" si="21"/>
        <v>-17.626131739163</v>
      </c>
      <c r="AC8" s="31">
        <f t="shared" si="22"/>
        <v>0.23291606202079568</v>
      </c>
      <c r="AD8" s="31">
        <f t="shared" si="23"/>
        <v>0.10567149438620083</v>
      </c>
      <c r="AE8" s="31">
        <f t="shared" si="24"/>
        <v>-0.43233398672859574</v>
      </c>
      <c r="AF8" s="31">
        <f t="shared" si="25"/>
        <v>-0.74964089902682529</v>
      </c>
      <c r="AG8" s="37">
        <f t="shared" si="26"/>
        <v>2223.1234293081279</v>
      </c>
      <c r="AH8" s="31">
        <f t="shared" si="27"/>
        <v>22.626131739163</v>
      </c>
      <c r="AI8" s="31">
        <f t="shared" si="28"/>
        <v>-0.23291606202079568</v>
      </c>
      <c r="AJ8" s="31">
        <f t="shared" si="29"/>
        <v>-0.10567149438620083</v>
      </c>
      <c r="AK8" s="31">
        <f t="shared" si="30"/>
        <v>0.84463556708300369</v>
      </c>
      <c r="AL8" s="31">
        <f t="shared" si="31"/>
        <v>-0.21503908064855254</v>
      </c>
      <c r="AM8" s="37">
        <f t="shared" si="32"/>
        <v>5241.1266221092337</v>
      </c>
      <c r="AN8" s="31">
        <f t="shared" si="33"/>
        <v>5</v>
      </c>
      <c r="AO8" s="31">
        <f t="shared" si="33"/>
        <v>0</v>
      </c>
      <c r="AP8" s="31">
        <f t="shared" si="33"/>
        <v>0</v>
      </c>
      <c r="AQ8" s="31">
        <f t="shared" si="33"/>
        <v>0.41230158035440795</v>
      </c>
      <c r="AR8" s="31">
        <f t="shared" si="33"/>
        <v>-0.96467997967537777</v>
      </c>
      <c r="AS8" s="38">
        <f t="shared" si="34"/>
        <v>-0.57963900216508146</v>
      </c>
      <c r="AT8" s="35">
        <f t="shared" si="35"/>
        <v>3018.0031928011063</v>
      </c>
      <c r="AU8" s="30">
        <v>48.571428571428569</v>
      </c>
      <c r="AV8" s="37">
        <v>3048.600831931577</v>
      </c>
      <c r="AW8" s="31">
        <v>-17.558246606427669</v>
      </c>
      <c r="AX8" s="31">
        <v>0.23221724447793202</v>
      </c>
      <c r="AY8" s="31">
        <v>0.15803167265491913</v>
      </c>
      <c r="AZ8" s="31">
        <v>-1.3678921226567906</v>
      </c>
      <c r="BA8" s="31">
        <v>-0.75027499092600147</v>
      </c>
      <c r="BB8" s="37">
        <v>2223.1234293081279</v>
      </c>
      <c r="BC8" s="31">
        <v>22.558246606427673</v>
      </c>
      <c r="BD8" s="31">
        <v>-0.23221724447793202</v>
      </c>
      <c r="BE8" s="31">
        <v>-0.15803167265491913</v>
      </c>
      <c r="BF8" s="31">
        <v>1.7801937030111985</v>
      </c>
      <c r="BG8" s="31">
        <v>-0.21440498874937641</v>
      </c>
      <c r="BH8" s="37">
        <v>5217.7988687079123</v>
      </c>
      <c r="BI8" s="31">
        <v>5.0000000000000036</v>
      </c>
      <c r="BJ8" s="31">
        <v>0</v>
      </c>
      <c r="BK8" s="31">
        <v>0</v>
      </c>
      <c r="BL8" s="31">
        <v>0.41230158035440789</v>
      </c>
      <c r="BM8" s="31">
        <v>-0.96467997967537789</v>
      </c>
      <c r="BN8" s="38">
        <v>-0.57963900216508146</v>
      </c>
      <c r="BO8" s="35">
        <v>2994.675439399784</v>
      </c>
      <c r="BP8" s="30">
        <v>48.571428571428569</v>
      </c>
      <c r="BQ8" s="37">
        <v>3057.7999834268321</v>
      </c>
      <c r="BR8" s="31">
        <v>-17.463549458682394</v>
      </c>
      <c r="BS8" s="31">
        <v>0.23124242089820127</v>
      </c>
      <c r="BT8" s="31">
        <v>0.20982436307560484</v>
      </c>
      <c r="BU8" s="31">
        <v>-2.668235074345918</v>
      </c>
      <c r="BV8" s="31">
        <v>-0.75115952472362213</v>
      </c>
      <c r="BW8" s="37">
        <v>2223.1234293081279</v>
      </c>
      <c r="BX8" s="31">
        <v>22.463549458682397</v>
      </c>
      <c r="BY8" s="31">
        <v>-0.23124242089820127</v>
      </c>
      <c r="BZ8" s="31">
        <v>-0.20982436307560484</v>
      </c>
      <c r="CA8" s="31">
        <v>3.0805366547003259</v>
      </c>
      <c r="CB8" s="31">
        <v>-0.21352045495175573</v>
      </c>
      <c r="CC8" s="37">
        <v>5185.2575504339538</v>
      </c>
      <c r="CD8" s="31">
        <v>5.0000000000000036</v>
      </c>
      <c r="CE8" s="31">
        <v>0</v>
      </c>
      <c r="CF8" s="31">
        <v>0</v>
      </c>
      <c r="CG8" s="31">
        <v>0.41230158035440789</v>
      </c>
      <c r="CH8" s="31">
        <v>-0.96467997967537789</v>
      </c>
      <c r="CI8" s="38">
        <v>-0.57963900216508146</v>
      </c>
      <c r="CJ8" s="35">
        <v>2962.1341211258255</v>
      </c>
    </row>
    <row r="9" spans="1:88">
      <c r="A9" s="30">
        <f t="shared" si="36"/>
        <v>61.428571428571431</v>
      </c>
      <c r="B9" s="30">
        <f t="shared" si="0"/>
        <v>2827.9837137688091</v>
      </c>
      <c r="C9" s="31">
        <f t="shared" si="1"/>
        <v>-15.155729673849063</v>
      </c>
      <c r="D9" s="31">
        <f t="shared" si="2"/>
        <v>0.16405826478714342</v>
      </c>
      <c r="E9" s="31">
        <f t="shared" si="3"/>
        <v>5.9525849998317976E-2</v>
      </c>
      <c r="F9" s="31">
        <f t="shared" si="4"/>
        <v>9.694726328743998E-2</v>
      </c>
      <c r="G9" s="32">
        <f t="shared" si="5"/>
        <v>-0.72288048780595515</v>
      </c>
      <c r="H9" s="30">
        <f t="shared" si="6"/>
        <v>2497.7095653589795</v>
      </c>
      <c r="I9" s="31">
        <f t="shared" si="7"/>
        <v>20.155729673849063</v>
      </c>
      <c r="J9" s="31">
        <f t="shared" si="8"/>
        <v>-0.16405826478714342</v>
      </c>
      <c r="K9" s="31">
        <f t="shared" si="9"/>
        <v>-5.9525849998317976E-2</v>
      </c>
      <c r="L9" s="31">
        <f t="shared" si="10"/>
        <v>0.31535431706696804</v>
      </c>
      <c r="M9" s="32">
        <f t="shared" si="11"/>
        <v>-0.24179949186942282</v>
      </c>
      <c r="N9" s="30">
        <f t="shared" si="12"/>
        <v>5319.6867859972226</v>
      </c>
      <c r="O9" s="33">
        <f t="shared" si="13"/>
        <v>5</v>
      </c>
      <c r="P9" s="31">
        <f t="shared" si="13"/>
        <v>0</v>
      </c>
      <c r="Q9" s="31">
        <f t="shared" si="13"/>
        <v>0</v>
      </c>
      <c r="R9" s="31">
        <f t="shared" si="13"/>
        <v>0.412301580354408</v>
      </c>
      <c r="S9" s="32">
        <f t="shared" si="13"/>
        <v>-0.964679979675378</v>
      </c>
      <c r="T9" s="34">
        <f t="shared" si="14"/>
        <v>-0.53299188229078132</v>
      </c>
      <c r="U9" s="35">
        <f t="shared" si="15"/>
        <v>2821.9772206382431</v>
      </c>
      <c r="V9" s="36">
        <f t="shared" si="16"/>
        <v>0.24784787961282104</v>
      </c>
      <c r="W9" s="14">
        <f t="shared" si="17"/>
        <v>0.99911097234254143</v>
      </c>
      <c r="X9" s="15">
        <f t="shared" si="18"/>
        <v>9.9942324331119603E-2</v>
      </c>
      <c r="Y9" s="35">
        <f t="shared" si="19"/>
        <v>3475.6986032412242</v>
      </c>
      <c r="Z9" s="30">
        <f t="shared" si="37"/>
        <v>61.428571428571431</v>
      </c>
      <c r="AA9" s="37">
        <f t="shared" si="20"/>
        <v>2832.4441305021542</v>
      </c>
      <c r="AB9" s="31">
        <f t="shared" si="21"/>
        <v>-15.119423956252067</v>
      </c>
      <c r="AC9" s="31">
        <f t="shared" si="22"/>
        <v>0.16376275313228417</v>
      </c>
      <c r="AD9" s="31">
        <f t="shared" si="23"/>
        <v>0.1188372568844559</v>
      </c>
      <c r="AE9" s="31">
        <f t="shared" si="24"/>
        <v>-0.53737152205714045</v>
      </c>
      <c r="AF9" s="31">
        <f t="shared" si="25"/>
        <v>-0.72330937403031526</v>
      </c>
      <c r="AG9" s="37">
        <f t="shared" si="26"/>
        <v>2497.7095653589795</v>
      </c>
      <c r="AH9" s="31">
        <f t="shared" si="27"/>
        <v>20.119423956252071</v>
      </c>
      <c r="AI9" s="31">
        <f t="shared" si="28"/>
        <v>-0.16376275313228417</v>
      </c>
      <c r="AJ9" s="31">
        <f t="shared" si="29"/>
        <v>-0.1188372568844559</v>
      </c>
      <c r="AK9" s="31">
        <f t="shared" si="30"/>
        <v>0.94967310241154834</v>
      </c>
      <c r="AL9" s="31">
        <f t="shared" si="31"/>
        <v>-0.24137060564506271</v>
      </c>
      <c r="AM9" s="37">
        <f t="shared" si="32"/>
        <v>5306.1506124820944</v>
      </c>
      <c r="AN9" s="31">
        <f t="shared" si="33"/>
        <v>5.0000000000000036</v>
      </c>
      <c r="AO9" s="31">
        <f t="shared" si="33"/>
        <v>0</v>
      </c>
      <c r="AP9" s="31">
        <f t="shared" si="33"/>
        <v>0</v>
      </c>
      <c r="AQ9" s="31">
        <f t="shared" si="33"/>
        <v>0.41230158035440789</v>
      </c>
      <c r="AR9" s="31">
        <f t="shared" si="33"/>
        <v>-0.964679979675378</v>
      </c>
      <c r="AS9" s="38">
        <f t="shared" si="34"/>
        <v>-0.53299188229078132</v>
      </c>
      <c r="AT9" s="35">
        <f t="shared" si="35"/>
        <v>2808.4410471231149</v>
      </c>
      <c r="AU9" s="30">
        <v>61.428571428571431</v>
      </c>
      <c r="AV9" s="37">
        <v>2839.8603113787835</v>
      </c>
      <c r="AW9" s="31">
        <v>-15.059059693302762</v>
      </c>
      <c r="AX9" s="31">
        <v>0.16327141610827819</v>
      </c>
      <c r="AY9" s="31">
        <v>0.1777210645903885</v>
      </c>
      <c r="AZ9" s="31">
        <v>-1.5894921831250315</v>
      </c>
      <c r="BA9" s="31">
        <v>-0.72402246834537565</v>
      </c>
      <c r="BB9" s="37">
        <v>2497.7095653589795</v>
      </c>
      <c r="BC9" s="31">
        <v>20.059059693302764</v>
      </c>
      <c r="BD9" s="31">
        <v>-0.16327141610827819</v>
      </c>
      <c r="BE9" s="31">
        <v>-0.1777210645903885</v>
      </c>
      <c r="BF9" s="31">
        <v>2.0017937634794398</v>
      </c>
      <c r="BG9" s="31">
        <v>-0.24065751133000218</v>
      </c>
      <c r="BH9" s="37">
        <v>5283.6444842059709</v>
      </c>
      <c r="BI9" s="31">
        <v>5.0000000000000018</v>
      </c>
      <c r="BJ9" s="31">
        <v>0</v>
      </c>
      <c r="BK9" s="31">
        <v>0</v>
      </c>
      <c r="BL9" s="31">
        <v>0.41230158035440834</v>
      </c>
      <c r="BM9" s="31">
        <v>-0.96467997967537777</v>
      </c>
      <c r="BN9" s="38">
        <v>-0.53299188229078132</v>
      </c>
      <c r="BO9" s="35">
        <v>2785.9349188469905</v>
      </c>
      <c r="BP9" s="30">
        <v>61.428571428571431</v>
      </c>
      <c r="BQ9" s="37">
        <v>2850.2055983051259</v>
      </c>
      <c r="BR9" s="31">
        <v>-14.974853869483693</v>
      </c>
      <c r="BS9" s="31">
        <v>0.16258601986789042</v>
      </c>
      <c r="BT9" s="31">
        <v>0.23596668032631837</v>
      </c>
      <c r="BU9" s="31">
        <v>-3.0518467214550182</v>
      </c>
      <c r="BV9" s="31">
        <v>-0.72501720747290865</v>
      </c>
      <c r="BW9" s="37">
        <v>2497.7095653589795</v>
      </c>
      <c r="BX9" s="31">
        <v>19.974853869483695</v>
      </c>
      <c r="BY9" s="31">
        <v>-0.16258601986789042</v>
      </c>
      <c r="BZ9" s="31">
        <v>-0.23596668032631837</v>
      </c>
      <c r="CA9" s="31">
        <v>3.464148301809427</v>
      </c>
      <c r="CB9" s="31">
        <v>-0.23966277220246926</v>
      </c>
      <c r="CC9" s="37">
        <v>5252.2493013630992</v>
      </c>
      <c r="CD9" s="31">
        <v>5.0000000000000018</v>
      </c>
      <c r="CE9" s="31">
        <v>0</v>
      </c>
      <c r="CF9" s="31">
        <v>0</v>
      </c>
      <c r="CG9" s="31">
        <v>0.41230158035440878</v>
      </c>
      <c r="CH9" s="31">
        <v>-0.96467997967537789</v>
      </c>
      <c r="CI9" s="38">
        <v>-0.53299188229078132</v>
      </c>
      <c r="CJ9" s="35">
        <v>2754.5397360041193</v>
      </c>
    </row>
    <row r="10" spans="1:88">
      <c r="A10" s="30">
        <f t="shared" si="36"/>
        <v>74.285714285714292</v>
      </c>
      <c r="B10" s="30">
        <f t="shared" si="0"/>
        <v>2645.4272934606888</v>
      </c>
      <c r="C10" s="31">
        <f t="shared" si="1"/>
        <v>-13.328675443910615</v>
      </c>
      <c r="D10" s="31">
        <f t="shared" si="2"/>
        <v>0.12336608471862914</v>
      </c>
      <c r="E10" s="31">
        <f t="shared" si="3"/>
        <v>6.5459555156823626E-2</v>
      </c>
      <c r="F10" s="31">
        <f t="shared" si="4"/>
        <v>6.5669321575207509E-2</v>
      </c>
      <c r="G10" s="32">
        <f t="shared" si="5"/>
        <v>-0.69914566717193249</v>
      </c>
      <c r="H10" s="30">
        <f t="shared" si="6"/>
        <v>2744.7713447077567</v>
      </c>
      <c r="I10" s="31">
        <f t="shared" si="7"/>
        <v>18.328675443910615</v>
      </c>
      <c r="J10" s="31">
        <f t="shared" si="8"/>
        <v>-0.12336608471862914</v>
      </c>
      <c r="K10" s="31">
        <f t="shared" si="9"/>
        <v>-6.5459555156823626E-2</v>
      </c>
      <c r="L10" s="31">
        <f t="shared" si="10"/>
        <v>0.34663225877920056</v>
      </c>
      <c r="M10" s="32">
        <f t="shared" si="11"/>
        <v>-0.26553431250344539</v>
      </c>
      <c r="N10" s="30">
        <f t="shared" si="12"/>
        <v>5384.1921450378795</v>
      </c>
      <c r="O10" s="33">
        <f t="shared" si="13"/>
        <v>5</v>
      </c>
      <c r="P10" s="31">
        <f t="shared" si="13"/>
        <v>0</v>
      </c>
      <c r="Q10" s="31">
        <f t="shared" si="13"/>
        <v>0</v>
      </c>
      <c r="R10" s="31">
        <f t="shared" si="13"/>
        <v>0.41230158035440806</v>
      </c>
      <c r="S10" s="32">
        <f t="shared" si="13"/>
        <v>-0.96467997967537789</v>
      </c>
      <c r="T10" s="34">
        <f t="shared" si="14"/>
        <v>-0.49258553116119908</v>
      </c>
      <c r="U10" s="35">
        <f t="shared" si="15"/>
        <v>2639.4208003301228</v>
      </c>
      <c r="V10" s="36">
        <f t="shared" si="16"/>
        <v>0.27255405754769874</v>
      </c>
      <c r="W10" s="14">
        <f t="shared" si="17"/>
        <v>0.99911097234254143</v>
      </c>
      <c r="X10" s="15">
        <f t="shared" si="18"/>
        <v>9.9942324331119603E-2</v>
      </c>
      <c r="Y10" s="35">
        <f t="shared" si="19"/>
        <v>3722.5407378350587</v>
      </c>
      <c r="Z10" s="30">
        <f t="shared" si="37"/>
        <v>74.285714285714292</v>
      </c>
      <c r="AA10" s="37">
        <f t="shared" si="20"/>
        <v>2650.3323371549336</v>
      </c>
      <c r="AB10" s="31">
        <f t="shared" si="21"/>
        <v>-13.295660726737815</v>
      </c>
      <c r="AC10" s="31">
        <f t="shared" si="22"/>
        <v>0.12314387027611989</v>
      </c>
      <c r="AD10" s="31">
        <f t="shared" si="23"/>
        <v>0.13068329090527009</v>
      </c>
      <c r="AE10" s="31">
        <f t="shared" si="24"/>
        <v>-0.63188015512182782</v>
      </c>
      <c r="AF10" s="31">
        <f t="shared" si="25"/>
        <v>-0.69961730598868688</v>
      </c>
      <c r="AG10" s="37">
        <f t="shared" si="26"/>
        <v>2744.7713447077567</v>
      </c>
      <c r="AH10" s="31">
        <f t="shared" si="27"/>
        <v>18.295660726737815</v>
      </c>
      <c r="AI10" s="31">
        <f t="shared" si="28"/>
        <v>-0.12314387027611989</v>
      </c>
      <c r="AJ10" s="31">
        <f t="shared" si="29"/>
        <v>-0.13068329090527009</v>
      </c>
      <c r="AK10" s="31">
        <f t="shared" si="30"/>
        <v>1.0441817354762357</v>
      </c>
      <c r="AL10" s="31">
        <f t="shared" si="31"/>
        <v>-0.26506267368669112</v>
      </c>
      <c r="AM10" s="37">
        <f t="shared" si="32"/>
        <v>5371.1005984836511</v>
      </c>
      <c r="AN10" s="31">
        <f t="shared" si="33"/>
        <v>5</v>
      </c>
      <c r="AO10" s="31">
        <f t="shared" si="33"/>
        <v>0</v>
      </c>
      <c r="AP10" s="31">
        <f t="shared" si="33"/>
        <v>0</v>
      </c>
      <c r="AQ10" s="31">
        <f t="shared" si="33"/>
        <v>0.41230158035440789</v>
      </c>
      <c r="AR10" s="31">
        <f t="shared" si="33"/>
        <v>-0.964679979675378</v>
      </c>
      <c r="AS10" s="38">
        <f t="shared" si="34"/>
        <v>-0.49258553116119908</v>
      </c>
      <c r="AT10" s="35">
        <f t="shared" si="35"/>
        <v>2626.3292537758944</v>
      </c>
      <c r="AU10" s="30">
        <v>74.285714285714292</v>
      </c>
      <c r="AV10" s="37">
        <v>2658.4877839257133</v>
      </c>
      <c r="AW10" s="31">
        <v>-13.240768296549872</v>
      </c>
      <c r="AX10" s="31">
        <v>0.12277440199600877</v>
      </c>
      <c r="AY10" s="31">
        <v>0.19543680317732004</v>
      </c>
      <c r="AZ10" s="31">
        <v>-1.7888791807006892</v>
      </c>
      <c r="BA10" s="31">
        <v>-0.7004014835628003</v>
      </c>
      <c r="BB10" s="37">
        <v>2744.7713447077567</v>
      </c>
      <c r="BC10" s="31">
        <v>18.240768296549874</v>
      </c>
      <c r="BD10" s="31">
        <v>-0.12277440199600877</v>
      </c>
      <c r="BE10" s="31">
        <v>-0.19543680317732004</v>
      </c>
      <c r="BF10" s="31">
        <v>2.2011807610550971</v>
      </c>
      <c r="BG10" s="31">
        <v>-0.26427849611257764</v>
      </c>
      <c r="BH10" s="37">
        <v>5349.3337361016775</v>
      </c>
      <c r="BI10" s="31">
        <v>5.0000000000000018</v>
      </c>
      <c r="BJ10" s="31">
        <v>0</v>
      </c>
      <c r="BK10" s="31">
        <v>0</v>
      </c>
      <c r="BL10" s="31">
        <v>0.41230158035440789</v>
      </c>
      <c r="BM10" s="31">
        <v>-0.964679979675378</v>
      </c>
      <c r="BN10" s="38">
        <v>-0.49258553116119908</v>
      </c>
      <c r="BO10" s="35">
        <v>2604.5623913939203</v>
      </c>
      <c r="BP10" s="30">
        <v>74.285714285714292</v>
      </c>
      <c r="BQ10" s="37">
        <v>2669.8643183252598</v>
      </c>
      <c r="BR10" s="31">
        <v>-13.164195468860619</v>
      </c>
      <c r="BS10" s="31">
        <v>0.12225900796348495</v>
      </c>
      <c r="BT10" s="31">
        <v>0.25948850669800888</v>
      </c>
      <c r="BU10" s="31">
        <v>-3.3970053571996059</v>
      </c>
      <c r="BV10" s="31">
        <v>-0.70149538110121812</v>
      </c>
      <c r="BW10" s="37">
        <v>2744.7713447077567</v>
      </c>
      <c r="BX10" s="31">
        <v>18.164195468860623</v>
      </c>
      <c r="BY10" s="31">
        <v>-0.12225900796348495</v>
      </c>
      <c r="BZ10" s="31">
        <v>-0.25948850669800888</v>
      </c>
      <c r="CA10" s="31">
        <v>3.8093069375540138</v>
      </c>
      <c r="CB10" s="31">
        <v>-0.26318459857415977</v>
      </c>
      <c r="CC10" s="37">
        <v>5318.9698007320103</v>
      </c>
      <c r="CD10" s="31">
        <v>5.0000000000000036</v>
      </c>
      <c r="CE10" s="31">
        <v>0</v>
      </c>
      <c r="CF10" s="31">
        <v>0</v>
      </c>
      <c r="CG10" s="31">
        <v>0.41230158035440789</v>
      </c>
      <c r="CH10" s="31">
        <v>-0.96467997967537789</v>
      </c>
      <c r="CI10" s="38">
        <v>-0.49258553116119908</v>
      </c>
      <c r="CJ10" s="35">
        <v>2574.1984560242531</v>
      </c>
    </row>
    <row r="11" spans="1:88">
      <c r="A11" s="30">
        <f t="shared" si="36"/>
        <v>87.142857142857153</v>
      </c>
      <c r="B11" s="30">
        <f t="shared" si="0"/>
        <v>2483.4580063370627</v>
      </c>
      <c r="C11" s="31">
        <f t="shared" si="1"/>
        <v>-11.922629075026576</v>
      </c>
      <c r="D11" s="31">
        <f t="shared" si="2"/>
        <v>9.7097052069824608E-2</v>
      </c>
      <c r="E11" s="31">
        <f t="shared" si="3"/>
        <v>7.0898377306086627E-2</v>
      </c>
      <c r="F11" s="31">
        <f t="shared" si="4"/>
        <v>3.7000023451421199E-2</v>
      </c>
      <c r="G11" s="32">
        <f t="shared" si="5"/>
        <v>-0.6773903785748806</v>
      </c>
      <c r="H11" s="30">
        <f t="shared" si="6"/>
        <v>2971.2276720553155</v>
      </c>
      <c r="I11" s="31">
        <f t="shared" si="7"/>
        <v>16.922629075026578</v>
      </c>
      <c r="J11" s="31">
        <f t="shared" si="8"/>
        <v>-9.7097052069824608E-2</v>
      </c>
      <c r="K11" s="31">
        <f t="shared" si="9"/>
        <v>-7.0898377306086627E-2</v>
      </c>
      <c r="L11" s="31">
        <f t="shared" si="10"/>
        <v>0.37530155690298683</v>
      </c>
      <c r="M11" s="32">
        <f t="shared" si="11"/>
        <v>-0.28728960110049739</v>
      </c>
      <c r="N11" s="30">
        <f t="shared" si="12"/>
        <v>5448.6791852618117</v>
      </c>
      <c r="O11" s="33">
        <f t="shared" si="13"/>
        <v>5.0000000000000018</v>
      </c>
      <c r="P11" s="31">
        <f t="shared" si="13"/>
        <v>0</v>
      </c>
      <c r="Q11" s="31">
        <f t="shared" si="13"/>
        <v>0</v>
      </c>
      <c r="R11" s="31">
        <f t="shared" si="13"/>
        <v>0.412301580354408</v>
      </c>
      <c r="S11" s="32">
        <f t="shared" si="13"/>
        <v>-0.964679979675378</v>
      </c>
      <c r="T11" s="34">
        <f t="shared" si="14"/>
        <v>-0.45692566833713988</v>
      </c>
      <c r="U11" s="35">
        <f t="shared" si="15"/>
        <v>2477.4515132064967</v>
      </c>
      <c r="V11" s="36">
        <f t="shared" si="16"/>
        <v>0.29519969028245463</v>
      </c>
      <c r="W11" s="14">
        <f t="shared" si="17"/>
        <v>0.99911097234254143</v>
      </c>
      <c r="X11" s="15">
        <f t="shared" si="18"/>
        <v>9.9942324331119603E-2</v>
      </c>
      <c r="Y11" s="35">
        <f t="shared" si="19"/>
        <v>3948.7957392443996</v>
      </c>
      <c r="Z11" s="30">
        <f t="shared" si="37"/>
        <v>87.142857142857153</v>
      </c>
      <c r="AA11" s="37">
        <f t="shared" si="20"/>
        <v>2488.7705942045523</v>
      </c>
      <c r="AB11" s="31">
        <f t="shared" si="21"/>
        <v>-11.892147013491799</v>
      </c>
      <c r="AC11" s="31">
        <f t="shared" si="22"/>
        <v>9.6922154995444737E-2</v>
      </c>
      <c r="AD11" s="31">
        <f t="shared" si="23"/>
        <v>0.14154134173392854</v>
      </c>
      <c r="AE11" s="31">
        <f t="shared" si="24"/>
        <v>-0.71850657707539878</v>
      </c>
      <c r="AF11" s="31">
        <f t="shared" si="25"/>
        <v>-0.67790120433136991</v>
      </c>
      <c r="AG11" s="37">
        <f t="shared" si="26"/>
        <v>2971.2276720553155</v>
      </c>
      <c r="AH11" s="31">
        <f t="shared" si="27"/>
        <v>16.892147013491801</v>
      </c>
      <c r="AI11" s="31">
        <f t="shared" si="28"/>
        <v>-9.6922154995444737E-2</v>
      </c>
      <c r="AJ11" s="31">
        <f t="shared" si="29"/>
        <v>-0.14154134173392854</v>
      </c>
      <c r="AK11" s="31">
        <f t="shared" si="30"/>
        <v>1.1308081574298068</v>
      </c>
      <c r="AL11" s="31">
        <f t="shared" si="31"/>
        <v>-0.28677877534400797</v>
      </c>
      <c r="AM11" s="37">
        <f t="shared" si="32"/>
        <v>5435.995182880828</v>
      </c>
      <c r="AN11" s="31">
        <f t="shared" si="33"/>
        <v>5.0000000000000018</v>
      </c>
      <c r="AO11" s="31">
        <f t="shared" si="33"/>
        <v>0</v>
      </c>
      <c r="AP11" s="31">
        <f t="shared" si="33"/>
        <v>0</v>
      </c>
      <c r="AQ11" s="31">
        <f t="shared" si="33"/>
        <v>0.412301580354408</v>
      </c>
      <c r="AR11" s="31">
        <f t="shared" si="33"/>
        <v>-0.96467997967537789</v>
      </c>
      <c r="AS11" s="38">
        <f t="shared" si="34"/>
        <v>-0.45692566833713988</v>
      </c>
      <c r="AT11" s="35">
        <f t="shared" si="35"/>
        <v>2464.767510825513</v>
      </c>
      <c r="AU11" s="30">
        <v>87.142857142857153</v>
      </c>
      <c r="AV11" s="37">
        <v>2497.6036505989814</v>
      </c>
      <c r="AW11" s="31">
        <v>-11.841465542376225</v>
      </c>
      <c r="AX11" s="31">
        <v>9.663135966937178E-2</v>
      </c>
      <c r="AY11" s="31">
        <v>0.21167501334167921</v>
      </c>
      <c r="AZ11" s="31">
        <v>-1.9716368994820241</v>
      </c>
      <c r="BA11" s="31">
        <v>-0.67875053667698804</v>
      </c>
      <c r="BB11" s="37">
        <v>2971.2276720553155</v>
      </c>
      <c r="BC11" s="31">
        <v>16.841465542376227</v>
      </c>
      <c r="BD11" s="31">
        <v>-9.663135966937178E-2</v>
      </c>
      <c r="BE11" s="31">
        <v>-0.21167501334167921</v>
      </c>
      <c r="BF11" s="31">
        <v>2.3839384798364325</v>
      </c>
      <c r="BG11" s="31">
        <v>-0.28592944299838985</v>
      </c>
      <c r="BH11" s="37">
        <v>5414.9059301225043</v>
      </c>
      <c r="BI11" s="31">
        <v>5.0000000000000018</v>
      </c>
      <c r="BJ11" s="31">
        <v>0</v>
      </c>
      <c r="BK11" s="31">
        <v>0</v>
      </c>
      <c r="BL11" s="31">
        <v>0.41230158035440834</v>
      </c>
      <c r="BM11" s="31">
        <v>-0.96467997967537789</v>
      </c>
      <c r="BN11" s="38">
        <v>-0.45692566833713988</v>
      </c>
      <c r="BO11" s="35">
        <v>2443.6782580671884</v>
      </c>
      <c r="BP11" s="30">
        <v>87.142857142857153</v>
      </c>
      <c r="BQ11" s="37">
        <v>2509.9254243470969</v>
      </c>
      <c r="BR11" s="31">
        <v>-11.770766840542771</v>
      </c>
      <c r="BS11" s="31">
        <v>9.6225711380163448E-2</v>
      </c>
      <c r="BT11" s="31">
        <v>0.28104856518492016</v>
      </c>
      <c r="BU11" s="31">
        <v>-3.7133770647500071</v>
      </c>
      <c r="BV11" s="31">
        <v>-0.67993532261430689</v>
      </c>
      <c r="BW11" s="37">
        <v>2971.2276720553155</v>
      </c>
      <c r="BX11" s="31">
        <v>16.770766840542773</v>
      </c>
      <c r="BY11" s="31">
        <v>-9.6225711380163448E-2</v>
      </c>
      <c r="BZ11" s="31">
        <v>-0.28104856518492016</v>
      </c>
      <c r="CA11" s="31">
        <v>4.125678645104415</v>
      </c>
      <c r="CB11" s="31">
        <v>-0.28474465706107099</v>
      </c>
      <c r="CC11" s="37">
        <v>5385.4872341014061</v>
      </c>
      <c r="CD11" s="31">
        <v>5.0000000000000018</v>
      </c>
      <c r="CE11" s="31">
        <v>0</v>
      </c>
      <c r="CF11" s="31">
        <v>0</v>
      </c>
      <c r="CG11" s="31">
        <v>0.41230158035440789</v>
      </c>
      <c r="CH11" s="31">
        <v>-0.96467997967537789</v>
      </c>
      <c r="CI11" s="38">
        <v>-0.45692566833713988</v>
      </c>
      <c r="CJ11" s="35">
        <v>2414.2595620460902</v>
      </c>
    </row>
    <row r="12" spans="1:88">
      <c r="A12" s="30">
        <f>A20/10</f>
        <v>100</v>
      </c>
      <c r="B12" s="30">
        <f t="shared" si="0"/>
        <v>2337.6499086880544</v>
      </c>
      <c r="C12" s="31">
        <f t="shared" si="1"/>
        <v>-10.797331539339629</v>
      </c>
      <c r="D12" s="31">
        <f t="shared" si="2"/>
        <v>7.8986657696698104E-2</v>
      </c>
      <c r="E12" s="31">
        <f t="shared" si="3"/>
        <v>7.5948709323748226E-2</v>
      </c>
      <c r="F12" s="31">
        <f t="shared" si="4"/>
        <v>1.0378547281610398E-2</v>
      </c>
      <c r="G12" s="32">
        <f t="shared" si="5"/>
        <v>-0.65718905050423415</v>
      </c>
      <c r="H12" s="30">
        <f t="shared" si="6"/>
        <v>3181.5084293991486</v>
      </c>
      <c r="I12" s="31">
        <f t="shared" si="7"/>
        <v>15.797331539339629</v>
      </c>
      <c r="J12" s="31">
        <f t="shared" si="8"/>
        <v>-7.8986657696698104E-2</v>
      </c>
      <c r="K12" s="31">
        <f t="shared" si="9"/>
        <v>-7.5948709323748226E-2</v>
      </c>
      <c r="L12" s="31">
        <f t="shared" si="10"/>
        <v>0.40192303307279759</v>
      </c>
      <c r="M12" s="32">
        <f t="shared" si="11"/>
        <v>-0.30749092917114379</v>
      </c>
      <c r="N12" s="30">
        <f t="shared" si="12"/>
        <v>5513.1518449566374</v>
      </c>
      <c r="O12" s="33">
        <f t="shared" si="13"/>
        <v>5</v>
      </c>
      <c r="P12" s="31">
        <f t="shared" si="13"/>
        <v>0</v>
      </c>
      <c r="Q12" s="31">
        <f t="shared" si="13"/>
        <v>0</v>
      </c>
      <c r="R12" s="31">
        <f t="shared" si="13"/>
        <v>0.412301580354408</v>
      </c>
      <c r="S12" s="32">
        <f t="shared" si="13"/>
        <v>-0.964679979675378</v>
      </c>
      <c r="T12" s="34">
        <f t="shared" si="14"/>
        <v>-0.42504042542393106</v>
      </c>
      <c r="U12" s="35">
        <f t="shared" si="15"/>
        <v>2331.6434155574884</v>
      </c>
      <c r="V12" s="36">
        <f t="shared" si="16"/>
        <v>0.31622776601683794</v>
      </c>
      <c r="W12" s="14">
        <f t="shared" si="17"/>
        <v>0.99911097234254143</v>
      </c>
      <c r="X12" s="15">
        <f t="shared" si="18"/>
        <v>9.9942324331119603E-2</v>
      </c>
      <c r="Y12" s="35">
        <f t="shared" si="19"/>
        <v>4158.8895511791225</v>
      </c>
      <c r="Z12" s="30">
        <f>Z20/10</f>
        <v>100</v>
      </c>
      <c r="AA12" s="37">
        <f t="shared" si="20"/>
        <v>2343.3409302182495</v>
      </c>
      <c r="AB12" s="31">
        <f t="shared" si="21"/>
        <v>-10.768876431688653</v>
      </c>
      <c r="AC12" s="31">
        <f t="shared" si="22"/>
        <v>7.8844382158443221E-2</v>
      </c>
      <c r="AD12" s="31">
        <f t="shared" si="23"/>
        <v>0.15162381184316018</v>
      </c>
      <c r="AE12" s="31">
        <f t="shared" si="24"/>
        <v>-0.79894535230302188</v>
      </c>
      <c r="AF12" s="31">
        <f t="shared" si="25"/>
        <v>-0.65773626411290664</v>
      </c>
      <c r="AG12" s="37">
        <f t="shared" si="26"/>
        <v>3181.5084293991486</v>
      </c>
      <c r="AH12" s="31">
        <f t="shared" si="27"/>
        <v>15.768876431688653</v>
      </c>
      <c r="AI12" s="31">
        <f t="shared" si="28"/>
        <v>-7.8844382158443221E-2</v>
      </c>
      <c r="AJ12" s="31">
        <f t="shared" si="29"/>
        <v>-0.15162381184316018</v>
      </c>
      <c r="AK12" s="31">
        <f t="shared" si="30"/>
        <v>1.21124693265743</v>
      </c>
      <c r="AL12" s="31">
        <f t="shared" si="31"/>
        <v>-0.30694371556247119</v>
      </c>
      <c r="AM12" s="37">
        <f t="shared" si="32"/>
        <v>5500.8462762383579</v>
      </c>
      <c r="AN12" s="31">
        <f t="shared" si="33"/>
        <v>5</v>
      </c>
      <c r="AO12" s="31">
        <f t="shared" si="33"/>
        <v>0</v>
      </c>
      <c r="AP12" s="31">
        <f t="shared" si="33"/>
        <v>0</v>
      </c>
      <c r="AQ12" s="31">
        <f t="shared" si="33"/>
        <v>0.41230158035440811</v>
      </c>
      <c r="AR12" s="31">
        <f t="shared" si="33"/>
        <v>-0.96467997967537777</v>
      </c>
      <c r="AS12" s="38">
        <f t="shared" si="34"/>
        <v>-0.42504042542393106</v>
      </c>
      <c r="AT12" s="35">
        <f t="shared" si="35"/>
        <v>2319.3378468392102</v>
      </c>
      <c r="AU12" s="30">
        <v>100</v>
      </c>
      <c r="AV12" s="37">
        <v>2352.8031951956896</v>
      </c>
      <c r="AW12" s="31">
        <v>-10.721565106801451</v>
      </c>
      <c r="AX12" s="31">
        <v>7.860782553400722E-2</v>
      </c>
      <c r="AY12" s="31">
        <v>0.22675334288655943</v>
      </c>
      <c r="AZ12" s="31">
        <v>-2.1413404002227585</v>
      </c>
      <c r="BA12" s="31">
        <v>-0.6586460972838144</v>
      </c>
      <c r="BB12" s="37">
        <v>3181.5084293991486</v>
      </c>
      <c r="BC12" s="31">
        <v>15.721565106801451</v>
      </c>
      <c r="BD12" s="31">
        <v>-7.860782553400722E-2</v>
      </c>
      <c r="BE12" s="31">
        <v>-0.22675334288655943</v>
      </c>
      <c r="BF12" s="31">
        <v>2.5536419805771668</v>
      </c>
      <c r="BG12" s="31">
        <v>-0.30603388239156343</v>
      </c>
      <c r="BH12" s="37">
        <v>5480.386232063046</v>
      </c>
      <c r="BI12" s="31">
        <v>5</v>
      </c>
      <c r="BJ12" s="31">
        <v>0</v>
      </c>
      <c r="BK12" s="31">
        <v>0</v>
      </c>
      <c r="BL12" s="31">
        <v>0.41230158035440834</v>
      </c>
      <c r="BM12" s="31">
        <v>-0.96467997967537777</v>
      </c>
      <c r="BN12" s="38">
        <v>-0.42504042542393106</v>
      </c>
      <c r="BO12" s="35">
        <v>2298.8778026638965</v>
      </c>
      <c r="BP12" s="30">
        <v>100</v>
      </c>
      <c r="BQ12" s="37">
        <v>2366.0026907033016</v>
      </c>
      <c r="BR12" s="31">
        <v>-10.655567629263393</v>
      </c>
      <c r="BS12" s="31">
        <v>7.8277838146316919E-2</v>
      </c>
      <c r="BT12" s="31">
        <v>0.30106860825506532</v>
      </c>
      <c r="BU12" s="31">
        <v>-4.0071506282669862</v>
      </c>
      <c r="BV12" s="31">
        <v>-0.65991527954416174</v>
      </c>
      <c r="BW12" s="37">
        <v>3181.5084293991486</v>
      </c>
      <c r="BX12" s="31">
        <v>15.655567629263393</v>
      </c>
      <c r="BY12" s="31">
        <v>-7.8277838146316919E-2</v>
      </c>
      <c r="BZ12" s="31">
        <v>-0.30106860825506532</v>
      </c>
      <c r="CA12" s="31">
        <v>4.4194522086213954</v>
      </c>
      <c r="CB12" s="31">
        <v>-0.30476470013121615</v>
      </c>
      <c r="CC12" s="37">
        <v>5451.8452578014439</v>
      </c>
      <c r="CD12" s="31">
        <v>5</v>
      </c>
      <c r="CE12" s="31">
        <v>0</v>
      </c>
      <c r="CF12" s="31">
        <v>0</v>
      </c>
      <c r="CG12" s="31">
        <v>0.41230158035440923</v>
      </c>
      <c r="CH12" s="31">
        <v>-0.96467997967537789</v>
      </c>
      <c r="CI12" s="38">
        <v>-0.42504042542393106</v>
      </c>
      <c r="CJ12" s="35">
        <v>2270.3368284022949</v>
      </c>
    </row>
    <row r="13" spans="1:88">
      <c r="A13" s="30">
        <f>($A$20-$A$12)/8+A12</f>
        <v>212.5</v>
      </c>
      <c r="B13" s="30">
        <f t="shared" si="0"/>
        <v>1453.942202915387</v>
      </c>
      <c r="C13" s="31">
        <f t="shared" si="1"/>
        <v>-5.836880032095511</v>
      </c>
      <c r="D13" s="31">
        <f t="shared" si="2"/>
        <v>2.5498541251989422E-2</v>
      </c>
      <c r="E13" s="31">
        <f t="shared" si="3"/>
        <v>0.11071331763559118</v>
      </c>
      <c r="F13" s="31">
        <f t="shared" si="4"/>
        <v>-0.17287379899780272</v>
      </c>
      <c r="G13" s="32">
        <f t="shared" si="5"/>
        <v>-0.51813061725686227</v>
      </c>
      <c r="H13" s="30">
        <f t="shared" si="6"/>
        <v>4629.0029978772127</v>
      </c>
      <c r="I13" s="31">
        <f t="shared" si="7"/>
        <v>10.836880032095511</v>
      </c>
      <c r="J13" s="31">
        <f t="shared" si="8"/>
        <v>-2.5498541251989422E-2</v>
      </c>
      <c r="K13" s="31">
        <f t="shared" si="9"/>
        <v>-0.11071331763559118</v>
      </c>
      <c r="L13" s="31">
        <f t="shared" si="10"/>
        <v>0.58517537935221076</v>
      </c>
      <c r="M13" s="32">
        <f t="shared" si="11"/>
        <v>-0.44654936241851556</v>
      </c>
      <c r="N13" s="30">
        <f t="shared" si="12"/>
        <v>6076.9387076620333</v>
      </c>
      <c r="O13" s="33">
        <f t="shared" si="13"/>
        <v>5</v>
      </c>
      <c r="P13" s="31">
        <f t="shared" si="13"/>
        <v>0</v>
      </c>
      <c r="Q13" s="31">
        <f t="shared" si="13"/>
        <v>0</v>
      </c>
      <c r="R13" s="31">
        <f t="shared" si="13"/>
        <v>0.412301580354408</v>
      </c>
      <c r="S13" s="32">
        <f t="shared" si="13"/>
        <v>-0.96467997967537777</v>
      </c>
      <c r="T13" s="34">
        <f t="shared" si="14"/>
        <v>-0.23962519939852467</v>
      </c>
      <c r="U13" s="35">
        <f t="shared" si="15"/>
        <v>1447.9357097848213</v>
      </c>
      <c r="V13" s="36">
        <f t="shared" si="16"/>
        <v>0.46097722286464438</v>
      </c>
      <c r="W13" s="14">
        <f t="shared" si="17"/>
        <v>0.99911097234254143</v>
      </c>
      <c r="X13" s="15">
        <f t="shared" si="18"/>
        <v>9.9942324331119603E-2</v>
      </c>
      <c r="Y13" s="35">
        <f t="shared" si="19"/>
        <v>5605.0972569517889</v>
      </c>
      <c r="Z13" s="30">
        <f>($A$20-$A$12)/8+Z12</f>
        <v>212.5</v>
      </c>
      <c r="AA13" s="37">
        <f t="shared" si="20"/>
        <v>1462.238221109161</v>
      </c>
      <c r="AB13" s="31">
        <f t="shared" si="21"/>
        <v>-5.8173599892866301</v>
      </c>
      <c r="AC13" s="31">
        <f t="shared" si="22"/>
        <v>2.5452611739497939E-2</v>
      </c>
      <c r="AD13" s="31">
        <f t="shared" si="23"/>
        <v>0.22102778824263553</v>
      </c>
      <c r="AE13" s="31">
        <f t="shared" si="24"/>
        <v>-1.3526559804544527</v>
      </c>
      <c r="AF13" s="31">
        <f t="shared" si="25"/>
        <v>-0.518928311313956</v>
      </c>
      <c r="AG13" s="37">
        <f t="shared" si="26"/>
        <v>4629.0029978772127</v>
      </c>
      <c r="AH13" s="31">
        <f t="shared" si="27"/>
        <v>10.817359989286631</v>
      </c>
      <c r="AI13" s="31">
        <f t="shared" si="28"/>
        <v>-2.5452611739497939E-2</v>
      </c>
      <c r="AJ13" s="31">
        <f t="shared" si="29"/>
        <v>-0.22102778824263553</v>
      </c>
      <c r="AK13" s="31">
        <f t="shared" si="30"/>
        <v>1.764957560808861</v>
      </c>
      <c r="AL13" s="31">
        <f t="shared" si="31"/>
        <v>-0.44575166836142188</v>
      </c>
      <c r="AM13" s="37">
        <f t="shared" si="32"/>
        <v>6067.2381356073338</v>
      </c>
      <c r="AN13" s="31">
        <f t="shared" si="33"/>
        <v>5.0000000000000009</v>
      </c>
      <c r="AO13" s="31">
        <f t="shared" si="33"/>
        <v>0</v>
      </c>
      <c r="AP13" s="31">
        <f t="shared" si="33"/>
        <v>0</v>
      </c>
      <c r="AQ13" s="31">
        <f t="shared" si="33"/>
        <v>0.41230158035440834</v>
      </c>
      <c r="AR13" s="31">
        <f t="shared" si="33"/>
        <v>-0.96467997967537789</v>
      </c>
      <c r="AS13" s="38">
        <f t="shared" si="34"/>
        <v>-0.23962519939852467</v>
      </c>
      <c r="AT13" s="35">
        <f t="shared" si="35"/>
        <v>1438.2351377301216</v>
      </c>
      <c r="AU13" s="30">
        <v>212.5</v>
      </c>
      <c r="AV13" s="37">
        <v>1476.0317240840948</v>
      </c>
      <c r="AW13" s="31">
        <v>-5.7849046881691395</v>
      </c>
      <c r="AX13" s="31">
        <v>2.5376246325103845E-2</v>
      </c>
      <c r="AY13" s="31">
        <v>0.3305469585917224</v>
      </c>
      <c r="AZ13" s="31">
        <v>-3.3095162175290862</v>
      </c>
      <c r="BA13" s="31">
        <v>-0.52025460967693038</v>
      </c>
      <c r="BB13" s="37">
        <v>4629.0029978772127</v>
      </c>
      <c r="BC13" s="31">
        <v>10.78490468816914</v>
      </c>
      <c r="BD13" s="31">
        <v>-2.5376246325103845E-2</v>
      </c>
      <c r="BE13" s="31">
        <v>-0.3305469585917224</v>
      </c>
      <c r="BF13" s="31">
        <v>3.721817797883495</v>
      </c>
      <c r="BG13" s="31">
        <v>-0.44442536999844756</v>
      </c>
      <c r="BH13" s="37">
        <v>6051.1093294295151</v>
      </c>
      <c r="BI13" s="31">
        <v>5.0000000000000009</v>
      </c>
      <c r="BJ13" s="31">
        <v>0</v>
      </c>
      <c r="BK13" s="31">
        <v>0</v>
      </c>
      <c r="BL13" s="31">
        <v>0.41230158035440878</v>
      </c>
      <c r="BM13" s="31">
        <v>-0.964679979675378</v>
      </c>
      <c r="BN13" s="38">
        <v>-0.23962519939852467</v>
      </c>
      <c r="BO13" s="35">
        <v>1422.106331552302</v>
      </c>
      <c r="BP13" s="30">
        <v>212.5</v>
      </c>
      <c r="BQ13" s="37">
        <v>1495.2731299193729</v>
      </c>
      <c r="BR13" s="31">
        <v>-5.7396307920861327</v>
      </c>
      <c r="BS13" s="31">
        <v>2.5269719510790888E-2</v>
      </c>
      <c r="BT13" s="31">
        <v>0.43887914294582764</v>
      </c>
      <c r="BU13" s="31">
        <v>-6.0293786386881463</v>
      </c>
      <c r="BV13" s="31">
        <v>-0.52210474485339942</v>
      </c>
      <c r="BW13" s="37">
        <v>4629.0029978772127</v>
      </c>
      <c r="BX13" s="31">
        <v>10.739630792086134</v>
      </c>
      <c r="BY13" s="31">
        <v>-2.5269719510790888E-2</v>
      </c>
      <c r="BZ13" s="31">
        <v>-0.43887914294582764</v>
      </c>
      <c r="CA13" s="31">
        <v>6.4416802190425537</v>
      </c>
      <c r="CB13" s="31">
        <v>-0.44257523482197852</v>
      </c>
      <c r="CC13" s="37">
        <v>6028.6102654955794</v>
      </c>
      <c r="CD13" s="31">
        <v>5.0000000000000009</v>
      </c>
      <c r="CE13" s="31">
        <v>0</v>
      </c>
      <c r="CF13" s="31">
        <v>0</v>
      </c>
      <c r="CG13" s="31">
        <v>0.41230158035440745</v>
      </c>
      <c r="CH13" s="31">
        <v>-0.964679979675378</v>
      </c>
      <c r="CI13" s="38">
        <v>-0.23962519939852467</v>
      </c>
      <c r="CJ13" s="35">
        <v>1399.6072676183664</v>
      </c>
    </row>
    <row r="14" spans="1:88">
      <c r="A14" s="30">
        <f t="shared" ref="A14:A19" si="38">($A$20-$A$12)/8+A13</f>
        <v>325</v>
      </c>
      <c r="B14" s="30">
        <f t="shared" si="0"/>
        <v>926.30732849662832</v>
      </c>
      <c r="C14" s="31">
        <f t="shared" si="1"/>
        <v>-3.7627829047066941</v>
      </c>
      <c r="D14" s="31">
        <f t="shared" si="2"/>
        <v>1.3481204468779524E-2</v>
      </c>
      <c r="E14" s="31">
        <f t="shared" si="3"/>
        <v>0.13691848288604211</v>
      </c>
      <c r="F14" s="31">
        <f t="shared" si="4"/>
        <v>-0.31100732760565925</v>
      </c>
      <c r="G14" s="32">
        <f t="shared" si="5"/>
        <v>-0.41330995625505856</v>
      </c>
      <c r="H14" s="30">
        <f t="shared" si="6"/>
        <v>5720.1078947264596</v>
      </c>
      <c r="I14" s="31">
        <f t="shared" si="7"/>
        <v>8.7627829047066932</v>
      </c>
      <c r="J14" s="31">
        <f t="shared" si="8"/>
        <v>-1.3481204468779524E-2</v>
      </c>
      <c r="K14" s="31">
        <f t="shared" si="9"/>
        <v>-0.13691848288604211</v>
      </c>
      <c r="L14" s="31">
        <f t="shared" si="10"/>
        <v>0.72330890796006719</v>
      </c>
      <c r="M14" s="32">
        <f t="shared" si="11"/>
        <v>-0.55137002342031938</v>
      </c>
      <c r="N14" s="30">
        <f t="shared" si="12"/>
        <v>6640.4087300925221</v>
      </c>
      <c r="O14" s="33">
        <f t="shared" si="13"/>
        <v>4.9999999999999991</v>
      </c>
      <c r="P14" s="31">
        <f t="shared" si="13"/>
        <v>0</v>
      </c>
      <c r="Q14" s="31">
        <f t="shared" si="13"/>
        <v>0</v>
      </c>
      <c r="R14" s="31">
        <f t="shared" si="13"/>
        <v>0.41230158035440795</v>
      </c>
      <c r="S14" s="32">
        <f t="shared" si="13"/>
        <v>-0.964679979675378</v>
      </c>
      <c r="T14" s="34">
        <f t="shared" si="14"/>
        <v>-0.13949024520819775</v>
      </c>
      <c r="U14" s="35">
        <f t="shared" si="15"/>
        <v>920.30083536606242</v>
      </c>
      <c r="V14" s="36">
        <f t="shared" si="16"/>
        <v>0.57008771254956903</v>
      </c>
      <c r="W14" s="14">
        <f t="shared" si="17"/>
        <v>0.99911097234254143</v>
      </c>
      <c r="X14" s="15">
        <f t="shared" si="18"/>
        <v>9.9942324331119603E-2</v>
      </c>
      <c r="Y14" s="35">
        <f t="shared" si="19"/>
        <v>6695.2321313705479</v>
      </c>
      <c r="Z14" s="30">
        <f t="shared" ref="Z14:Z19" si="39">($A$20-$A$12)/8+Z13</f>
        <v>325</v>
      </c>
      <c r="AA14" s="37">
        <f t="shared" si="20"/>
        <v>936.56696346507192</v>
      </c>
      <c r="AB14" s="31">
        <f t="shared" si="21"/>
        <v>-3.7469988509090868</v>
      </c>
      <c r="AC14" s="31">
        <f t="shared" si="22"/>
        <v>1.3456921309090899E-2</v>
      </c>
      <c r="AD14" s="31">
        <f t="shared" si="23"/>
        <v>0.27334371409090902</v>
      </c>
      <c r="AE14" s="31">
        <f t="shared" si="24"/>
        <v>-1.7700367368110899</v>
      </c>
      <c r="AF14" s="31">
        <f t="shared" si="25"/>
        <v>-0.41429645961740896</v>
      </c>
      <c r="AG14" s="37">
        <f t="shared" si="26"/>
        <v>5720.1078947264596</v>
      </c>
      <c r="AH14" s="31">
        <f t="shared" si="27"/>
        <v>8.7469988509090868</v>
      </c>
      <c r="AI14" s="31">
        <f t="shared" si="28"/>
        <v>-1.3456921309090899E-2</v>
      </c>
      <c r="AJ14" s="31">
        <f t="shared" si="29"/>
        <v>-0.27334371409090902</v>
      </c>
      <c r="AK14" s="31">
        <f t="shared" si="30"/>
        <v>2.182338317165498</v>
      </c>
      <c r="AL14" s="31">
        <f t="shared" si="31"/>
        <v>-0.55038352005796898</v>
      </c>
      <c r="AM14" s="37">
        <f t="shared" si="32"/>
        <v>6632.671774812492</v>
      </c>
      <c r="AN14" s="31">
        <f t="shared" si="33"/>
        <v>5</v>
      </c>
      <c r="AO14" s="31">
        <f t="shared" si="33"/>
        <v>0</v>
      </c>
      <c r="AP14" s="31">
        <f t="shared" si="33"/>
        <v>0</v>
      </c>
      <c r="AQ14" s="31">
        <f t="shared" si="33"/>
        <v>0.41230158035440811</v>
      </c>
      <c r="AR14" s="31">
        <f t="shared" si="33"/>
        <v>-0.964679979675378</v>
      </c>
      <c r="AS14" s="38">
        <f t="shared" si="34"/>
        <v>-0.13949024520819775</v>
      </c>
      <c r="AT14" s="35">
        <f t="shared" si="35"/>
        <v>912.56388008603244</v>
      </c>
      <c r="AU14" s="30">
        <v>325</v>
      </c>
      <c r="AV14" s="37">
        <v>953.62530424416673</v>
      </c>
      <c r="AW14" s="31">
        <v>-3.7207552497104812</v>
      </c>
      <c r="AX14" s="31">
        <v>1.3416546538016119E-2</v>
      </c>
      <c r="AY14" s="31">
        <v>0.40878540233017879</v>
      </c>
      <c r="AZ14" s="31">
        <v>-4.1900738254128642</v>
      </c>
      <c r="BA14" s="31">
        <v>-0.41593668469232187</v>
      </c>
      <c r="BB14" s="37">
        <v>5720.1078947264596</v>
      </c>
      <c r="BC14" s="31">
        <v>8.7207552497104803</v>
      </c>
      <c r="BD14" s="31">
        <v>-1.3416546538016119E-2</v>
      </c>
      <c r="BE14" s="31">
        <v>-0.40878540233017879</v>
      </c>
      <c r="BF14" s="31">
        <v>4.6023754057672726</v>
      </c>
      <c r="BG14" s="31">
        <v>-0.54874329498305596</v>
      </c>
      <c r="BH14" s="37">
        <v>6619.8078064388337</v>
      </c>
      <c r="BI14" s="31">
        <v>4.9999999999999991</v>
      </c>
      <c r="BJ14" s="31">
        <v>0</v>
      </c>
      <c r="BK14" s="31">
        <v>0</v>
      </c>
      <c r="BL14" s="31">
        <v>0.41230158035440834</v>
      </c>
      <c r="BM14" s="31">
        <v>-0.96467997967537777</v>
      </c>
      <c r="BN14" s="38">
        <v>-0.13949024520819775</v>
      </c>
      <c r="BO14" s="35">
        <v>899.69991171237393</v>
      </c>
      <c r="BP14" s="30">
        <v>325</v>
      </c>
      <c r="BQ14" s="37">
        <v>977.4210331756417</v>
      </c>
      <c r="BR14" s="31">
        <v>-3.6841464359697493</v>
      </c>
      <c r="BS14" s="31">
        <v>1.3360225286107301E-2</v>
      </c>
      <c r="BT14" s="31">
        <v>0.54275915224810944</v>
      </c>
      <c r="BU14" s="31">
        <v>-7.5537110491621764</v>
      </c>
      <c r="BV14" s="31">
        <v>-0.41822473555111755</v>
      </c>
      <c r="BW14" s="37">
        <v>5720.1078947264596</v>
      </c>
      <c r="BX14" s="31">
        <v>8.6841464359697493</v>
      </c>
      <c r="BY14" s="31">
        <v>-1.3360225286107301E-2</v>
      </c>
      <c r="BZ14" s="31">
        <v>-0.54275915224810944</v>
      </c>
      <c r="CA14" s="31">
        <v>7.9660126295165838</v>
      </c>
      <c r="CB14" s="31">
        <v>-0.54645524412426039</v>
      </c>
      <c r="CC14" s="37">
        <v>6601.8630656010955</v>
      </c>
      <c r="CD14" s="31">
        <v>5</v>
      </c>
      <c r="CE14" s="31">
        <v>0</v>
      </c>
      <c r="CF14" s="31">
        <v>0</v>
      </c>
      <c r="CG14" s="31">
        <v>0.41230158035440745</v>
      </c>
      <c r="CH14" s="31">
        <v>-0.964679979675378</v>
      </c>
      <c r="CI14" s="38">
        <v>-0.13949024520819775</v>
      </c>
      <c r="CJ14" s="35">
        <v>881.75517087463527</v>
      </c>
    </row>
    <row r="15" spans="1:88">
      <c r="A15" s="30">
        <f t="shared" si="38"/>
        <v>437.5</v>
      </c>
      <c r="B15" s="30">
        <f t="shared" si="0"/>
        <v>576.11830412023778</v>
      </c>
      <c r="C15" s="31">
        <f t="shared" si="1"/>
        <v>-2.5525690427837056</v>
      </c>
      <c r="D15" s="31">
        <f t="shared" si="2"/>
        <v>8.6315074774671059E-3</v>
      </c>
      <c r="E15" s="31">
        <f t="shared" si="3"/>
        <v>0.15885812289508996</v>
      </c>
      <c r="F15" s="31">
        <f t="shared" si="4"/>
        <v>-0.4266562793245855</v>
      </c>
      <c r="G15" s="32">
        <f t="shared" si="5"/>
        <v>-0.32555139621886708</v>
      </c>
      <c r="H15" s="30">
        <f t="shared" si="6"/>
        <v>6633.6090468922457</v>
      </c>
      <c r="I15" s="31">
        <f t="shared" si="7"/>
        <v>7.5525690427837064</v>
      </c>
      <c r="J15" s="31">
        <f t="shared" si="8"/>
        <v>-8.6315074774671059E-3</v>
      </c>
      <c r="K15" s="31">
        <f t="shared" si="9"/>
        <v>-0.15885812289508996</v>
      </c>
      <c r="L15" s="31">
        <f t="shared" si="10"/>
        <v>0.8389578596789935</v>
      </c>
      <c r="M15" s="32">
        <f t="shared" si="11"/>
        <v>-0.6391285834565108</v>
      </c>
      <c r="N15" s="30">
        <f t="shared" si="12"/>
        <v>7203.7208578819173</v>
      </c>
      <c r="O15" s="33">
        <f t="shared" si="13"/>
        <v>5.0000000000000009</v>
      </c>
      <c r="P15" s="31">
        <f t="shared" si="13"/>
        <v>0</v>
      </c>
      <c r="Q15" s="31">
        <f t="shared" si="13"/>
        <v>0</v>
      </c>
      <c r="R15" s="31">
        <f t="shared" si="13"/>
        <v>0.412301580354408</v>
      </c>
      <c r="S15" s="32">
        <f t="shared" si="13"/>
        <v>-0.96467997967537789</v>
      </c>
      <c r="T15" s="34">
        <f t="shared" si="14"/>
        <v>-7.9738674412316302E-2</v>
      </c>
      <c r="U15" s="35">
        <f t="shared" si="15"/>
        <v>570.11181098967188</v>
      </c>
      <c r="V15" s="36">
        <f t="shared" si="16"/>
        <v>0.66143782776614768</v>
      </c>
      <c r="W15" s="14">
        <f t="shared" si="17"/>
        <v>0.99911097234254143</v>
      </c>
      <c r="X15" s="15">
        <f t="shared" si="18"/>
        <v>9.9942324331119603E-2</v>
      </c>
      <c r="Y15" s="35">
        <f t="shared" si="19"/>
        <v>7607.921155746938</v>
      </c>
      <c r="Z15" s="30">
        <f t="shared" si="39"/>
        <v>437.5</v>
      </c>
      <c r="AA15" s="37">
        <f t="shared" si="20"/>
        <v>588.0219296813849</v>
      </c>
      <c r="AB15" s="31">
        <f t="shared" si="21"/>
        <v>-2.5389648992852503</v>
      </c>
      <c r="AC15" s="31">
        <f t="shared" si="22"/>
        <v>8.6159598848974429E-3</v>
      </c>
      <c r="AD15" s="31">
        <f t="shared" si="23"/>
        <v>0.31714395609974011</v>
      </c>
      <c r="AE15" s="31">
        <f t="shared" si="24"/>
        <v>-2.1194786675774351</v>
      </c>
      <c r="AF15" s="31">
        <f t="shared" si="25"/>
        <v>-0.32669597559974678</v>
      </c>
      <c r="AG15" s="37">
        <f t="shared" si="26"/>
        <v>6633.6090468922457</v>
      </c>
      <c r="AH15" s="31">
        <f t="shared" si="27"/>
        <v>7.5389648992852516</v>
      </c>
      <c r="AI15" s="31">
        <f t="shared" si="28"/>
        <v>-8.6159598848974429E-3</v>
      </c>
      <c r="AJ15" s="31">
        <f t="shared" si="29"/>
        <v>-0.31714395609974011</v>
      </c>
      <c r="AK15" s="31">
        <f t="shared" si="30"/>
        <v>2.5317802479318434</v>
      </c>
      <c r="AL15" s="31">
        <f t="shared" si="31"/>
        <v>-0.63798400407563127</v>
      </c>
      <c r="AM15" s="37">
        <f t="shared" si="32"/>
        <v>7197.6278931945908</v>
      </c>
      <c r="AN15" s="31">
        <f t="shared" si="33"/>
        <v>5.0000000000000018</v>
      </c>
      <c r="AO15" s="31">
        <f t="shared" si="33"/>
        <v>0</v>
      </c>
      <c r="AP15" s="31">
        <f t="shared" si="33"/>
        <v>0</v>
      </c>
      <c r="AQ15" s="31">
        <f t="shared" si="33"/>
        <v>0.41230158035440834</v>
      </c>
      <c r="AR15" s="31">
        <f t="shared" si="33"/>
        <v>-0.964679979675378</v>
      </c>
      <c r="AS15" s="38">
        <f t="shared" si="34"/>
        <v>-7.9738674412316302E-2</v>
      </c>
      <c r="AT15" s="35">
        <f t="shared" si="35"/>
        <v>564.01884630234542</v>
      </c>
      <c r="AU15" s="30">
        <v>437.5</v>
      </c>
      <c r="AV15" s="37">
        <v>607.81367684912937</v>
      </c>
      <c r="AW15" s="31">
        <v>-2.5163457596649708</v>
      </c>
      <c r="AX15" s="31">
        <v>8.5901094396171242E-3</v>
      </c>
      <c r="AY15" s="31">
        <v>0.47428864469039778</v>
      </c>
      <c r="AZ15" s="31">
        <v>-4.9272993586067804</v>
      </c>
      <c r="BA15" s="31">
        <v>-0.32859902821202985</v>
      </c>
      <c r="BB15" s="37">
        <v>6633.6090468922457</v>
      </c>
      <c r="BC15" s="31">
        <v>7.5163457596649721</v>
      </c>
      <c r="BD15" s="31">
        <v>-8.5901094396171242E-3</v>
      </c>
      <c r="BE15" s="31">
        <v>-0.47428864469039778</v>
      </c>
      <c r="BF15" s="31">
        <v>5.3396009389611887</v>
      </c>
      <c r="BG15" s="31">
        <v>-0.63608095146334809</v>
      </c>
      <c r="BH15" s="37">
        <v>7187.4973312095826</v>
      </c>
      <c r="BI15" s="31">
        <v>5.0000000000000018</v>
      </c>
      <c r="BJ15" s="31">
        <v>0</v>
      </c>
      <c r="BK15" s="31">
        <v>0</v>
      </c>
      <c r="BL15" s="31">
        <v>0.41230158035440834</v>
      </c>
      <c r="BM15" s="31">
        <v>-0.964679979675378</v>
      </c>
      <c r="BN15" s="38">
        <v>-7.9738674412316302E-2</v>
      </c>
      <c r="BO15" s="35">
        <v>553.88828431733646</v>
      </c>
      <c r="BP15" s="30">
        <v>437.5</v>
      </c>
      <c r="BQ15" s="37">
        <v>635.42240250321731</v>
      </c>
      <c r="BR15" s="31">
        <v>-2.484792930346015</v>
      </c>
      <c r="BS15" s="31">
        <v>8.5540490632526021E-3</v>
      </c>
      <c r="BT15" s="31">
        <v>0.62973017442815038</v>
      </c>
      <c r="BU15" s="31">
        <v>-8.8299214458643664</v>
      </c>
      <c r="BV15" s="31">
        <v>-0.33125371337107667</v>
      </c>
      <c r="BW15" s="37">
        <v>6633.6090468922457</v>
      </c>
      <c r="BX15" s="31">
        <v>7.4847929303460159</v>
      </c>
      <c r="BY15" s="31">
        <v>-8.5540490632526021E-3</v>
      </c>
      <c r="BZ15" s="31">
        <v>-0.62973017442815038</v>
      </c>
      <c r="CA15" s="31">
        <v>9.2422230262187739</v>
      </c>
      <c r="CB15" s="31">
        <v>-0.63342626630430121</v>
      </c>
      <c r="CC15" s="37">
        <v>7173.3655870944567</v>
      </c>
      <c r="CD15" s="31">
        <v>5.0000000000000009</v>
      </c>
      <c r="CE15" s="31">
        <v>0</v>
      </c>
      <c r="CF15" s="31">
        <v>0</v>
      </c>
      <c r="CG15" s="31">
        <v>0.41230158035440745</v>
      </c>
      <c r="CH15" s="31">
        <v>-0.96467997967537789</v>
      </c>
      <c r="CI15" s="38">
        <v>-7.9738674412316302E-2</v>
      </c>
      <c r="CJ15" s="35">
        <v>539.75654020221077</v>
      </c>
    </row>
    <row r="16" spans="1:88">
      <c r="A16" s="30">
        <f t="shared" si="38"/>
        <v>550</v>
      </c>
      <c r="B16" s="30">
        <f t="shared" si="0"/>
        <v>337.51093502854769</v>
      </c>
      <c r="C16" s="31">
        <f t="shared" si="1"/>
        <v>-1.7360048013885749</v>
      </c>
      <c r="D16" s="31">
        <f t="shared" si="2"/>
        <v>6.1236407285350696E-3</v>
      </c>
      <c r="E16" s="31">
        <f t="shared" si="3"/>
        <v>0.17811551157517869</v>
      </c>
      <c r="F16" s="31">
        <f t="shared" si="4"/>
        <v>-0.52816645965469688</v>
      </c>
      <c r="G16" s="32">
        <f t="shared" si="5"/>
        <v>-0.24852184149851225</v>
      </c>
      <c r="H16" s="30">
        <f t="shared" si="6"/>
        <v>7435.4292563264326</v>
      </c>
      <c r="I16" s="31">
        <f t="shared" si="7"/>
        <v>6.7360048013885745</v>
      </c>
      <c r="J16" s="31">
        <f t="shared" si="8"/>
        <v>-6.1236407285350696E-3</v>
      </c>
      <c r="K16" s="31">
        <f t="shared" si="9"/>
        <v>-0.17811551157517869</v>
      </c>
      <c r="L16" s="31">
        <f t="shared" si="10"/>
        <v>0.94046804000910489</v>
      </c>
      <c r="M16" s="32">
        <f t="shared" si="11"/>
        <v>-0.71615813817686558</v>
      </c>
      <c r="N16" s="30">
        <f t="shared" si="12"/>
        <v>7766.933698224414</v>
      </c>
      <c r="O16" s="33">
        <f t="shared" si="13"/>
        <v>5</v>
      </c>
      <c r="P16" s="31">
        <f t="shared" si="13"/>
        <v>0</v>
      </c>
      <c r="Q16" s="31">
        <f t="shared" si="13"/>
        <v>0</v>
      </c>
      <c r="R16" s="31">
        <f t="shared" si="13"/>
        <v>0.412301580354408</v>
      </c>
      <c r="S16" s="32">
        <f t="shared" si="13"/>
        <v>-0.96467997967537777</v>
      </c>
      <c r="T16" s="34">
        <f t="shared" si="14"/>
        <v>-4.3071162955398368E-2</v>
      </c>
      <c r="U16" s="35">
        <f t="shared" si="15"/>
        <v>331.50444189798179</v>
      </c>
      <c r="V16" s="36">
        <f t="shared" si="16"/>
        <v>0.74161984870956632</v>
      </c>
      <c r="W16" s="14">
        <f t="shared" si="17"/>
        <v>0.99911097234254143</v>
      </c>
      <c r="X16" s="15">
        <f t="shared" si="18"/>
        <v>9.9942324331119603E-2</v>
      </c>
      <c r="Y16" s="35">
        <f t="shared" si="19"/>
        <v>8409.0285248386281</v>
      </c>
      <c r="Z16" s="30">
        <f t="shared" si="39"/>
        <v>550</v>
      </c>
      <c r="AA16" s="37">
        <f t="shared" si="20"/>
        <v>350.85756356590838</v>
      </c>
      <c r="AB16" s="31">
        <f t="shared" si="21"/>
        <v>-1.723871502718247</v>
      </c>
      <c r="AC16" s="31">
        <f t="shared" si="22"/>
        <v>6.1126104570165896E-3</v>
      </c>
      <c r="AD16" s="31">
        <f t="shared" si="23"/>
        <v>0.35558935831683036</v>
      </c>
      <c r="AE16" s="31">
        <f t="shared" si="24"/>
        <v>-2.4261992463614543</v>
      </c>
      <c r="AF16" s="31">
        <f t="shared" si="25"/>
        <v>-0.24980517116556628</v>
      </c>
      <c r="AG16" s="37">
        <f t="shared" si="26"/>
        <v>7435.4292563264326</v>
      </c>
      <c r="AH16" s="31">
        <f t="shared" si="27"/>
        <v>6.7238715027182465</v>
      </c>
      <c r="AI16" s="31">
        <f t="shared" si="28"/>
        <v>-6.1126104570165896E-3</v>
      </c>
      <c r="AJ16" s="31">
        <f t="shared" si="29"/>
        <v>-0.35558935831683036</v>
      </c>
      <c r="AK16" s="31">
        <f t="shared" si="30"/>
        <v>2.8385008267158622</v>
      </c>
      <c r="AL16" s="31">
        <f t="shared" si="31"/>
        <v>-0.71487480850981155</v>
      </c>
      <c r="AM16" s="37">
        <f t="shared" si="32"/>
        <v>7762.2837365133009</v>
      </c>
      <c r="AN16" s="31">
        <f t="shared" si="33"/>
        <v>5</v>
      </c>
      <c r="AO16" s="31">
        <f t="shared" si="33"/>
        <v>0</v>
      </c>
      <c r="AP16" s="31">
        <f t="shared" si="33"/>
        <v>0</v>
      </c>
      <c r="AQ16" s="31">
        <f t="shared" si="33"/>
        <v>0.41230158035440789</v>
      </c>
      <c r="AR16" s="31">
        <f t="shared" si="33"/>
        <v>-0.96467997967537777</v>
      </c>
      <c r="AS16" s="38">
        <f t="shared" si="34"/>
        <v>-4.3071162955398368E-2</v>
      </c>
      <c r="AT16" s="35">
        <f t="shared" si="35"/>
        <v>326.85448018686895</v>
      </c>
      <c r="AU16" s="30">
        <v>550</v>
      </c>
      <c r="AV16" s="37">
        <v>373.04854195281399</v>
      </c>
      <c r="AW16" s="31">
        <v>-1.703697886002878</v>
      </c>
      <c r="AX16" s="31">
        <v>6.0942708054571634E-3</v>
      </c>
      <c r="AY16" s="31">
        <v>0.53178372653388206</v>
      </c>
      <c r="AZ16" s="31">
        <v>-5.5743946906972841</v>
      </c>
      <c r="BA16" s="31">
        <v>-0.25193891908738408</v>
      </c>
      <c r="BB16" s="37">
        <v>7435.4292563264326</v>
      </c>
      <c r="BC16" s="31">
        <v>6.7036978860028773</v>
      </c>
      <c r="BD16" s="31">
        <v>-6.0942708054571634E-3</v>
      </c>
      <c r="BE16" s="31">
        <v>-0.53178372653388206</v>
      </c>
      <c r="BF16" s="31">
        <v>5.9866962710516933</v>
      </c>
      <c r="BG16" s="31">
        <v>-0.7127410605879938</v>
      </c>
      <c r="BH16" s="37">
        <v>7754.552405747454</v>
      </c>
      <c r="BI16" s="31">
        <v>4.9999999999999991</v>
      </c>
      <c r="BJ16" s="31">
        <v>0</v>
      </c>
      <c r="BK16" s="31">
        <v>0</v>
      </c>
      <c r="BL16" s="31">
        <v>0.41230158035440923</v>
      </c>
      <c r="BM16" s="31">
        <v>-0.96467997967537789</v>
      </c>
      <c r="BN16" s="38">
        <v>-4.3071162955398368E-2</v>
      </c>
      <c r="BO16" s="35">
        <v>319.12314942102114</v>
      </c>
      <c r="BP16" s="30">
        <v>550</v>
      </c>
      <c r="BQ16" s="37">
        <v>404.00410282812493</v>
      </c>
      <c r="BR16" s="31">
        <v>-1.6755564670253225</v>
      </c>
      <c r="BS16" s="31">
        <v>6.0686876972957495E-3</v>
      </c>
      <c r="BT16" s="31">
        <v>0.70606847247383231</v>
      </c>
      <c r="BU16" s="31">
        <v>-9.9501075399264831</v>
      </c>
      <c r="BV16" s="31">
        <v>-0.25491541532539475</v>
      </c>
      <c r="BW16" s="37">
        <v>7435.4292563264326</v>
      </c>
      <c r="BX16" s="31">
        <v>6.6755564670253218</v>
      </c>
      <c r="BY16" s="31">
        <v>-6.0686876972957495E-3</v>
      </c>
      <c r="BZ16" s="31">
        <v>-0.70606847247383231</v>
      </c>
      <c r="CA16" s="31">
        <v>10.362409120280891</v>
      </c>
      <c r="CB16" s="31">
        <v>-0.70976456434998314</v>
      </c>
      <c r="CC16" s="37">
        <v>7743.7674968535512</v>
      </c>
      <c r="CD16" s="31">
        <v>4.9999999999999991</v>
      </c>
      <c r="CE16" s="31">
        <v>0</v>
      </c>
      <c r="CF16" s="31">
        <v>0</v>
      </c>
      <c r="CG16" s="31">
        <v>0.41230158035440745</v>
      </c>
      <c r="CH16" s="31">
        <v>-0.96467997967537789</v>
      </c>
      <c r="CI16" s="38">
        <v>-4.3071162955398368E-2</v>
      </c>
      <c r="CJ16" s="35">
        <v>308.33824052711844</v>
      </c>
    </row>
    <row r="17" spans="1:88">
      <c r="A17" s="30">
        <f t="shared" si="38"/>
        <v>662.5</v>
      </c>
      <c r="B17" s="30">
        <f t="shared" si="0"/>
        <v>177.44207937649637</v>
      </c>
      <c r="C17" s="31">
        <f t="shared" si="1"/>
        <v>-1.1374899148524404</v>
      </c>
      <c r="D17" s="31">
        <f t="shared" si="2"/>
        <v>4.6320678602659914E-3</v>
      </c>
      <c r="E17" s="31">
        <f t="shared" si="3"/>
        <v>0.19548495522066067</v>
      </c>
      <c r="F17" s="31">
        <f t="shared" si="4"/>
        <v>-0.6197248420489635</v>
      </c>
      <c r="G17" s="32">
        <f t="shared" si="5"/>
        <v>-0.17904406691658437</v>
      </c>
      <c r="H17" s="30">
        <f t="shared" si="6"/>
        <v>8158.6410672806223</v>
      </c>
      <c r="I17" s="31">
        <f t="shared" si="7"/>
        <v>6.1374899148524404</v>
      </c>
      <c r="J17" s="31">
        <f t="shared" si="8"/>
        <v>-4.6320678602659914E-3</v>
      </c>
      <c r="K17" s="31">
        <f t="shared" si="9"/>
        <v>-0.19548495522066067</v>
      </c>
      <c r="L17" s="31">
        <f t="shared" si="10"/>
        <v>1.0320264224033713</v>
      </c>
      <c r="M17" s="32">
        <f t="shared" si="11"/>
        <v>-0.78563591275879352</v>
      </c>
      <c r="N17" s="30">
        <f t="shared" si="12"/>
        <v>8330.076653526552</v>
      </c>
      <c r="O17" s="33">
        <f t="shared" si="13"/>
        <v>5</v>
      </c>
      <c r="P17" s="31">
        <f t="shared" si="13"/>
        <v>0</v>
      </c>
      <c r="Q17" s="31">
        <f t="shared" si="13"/>
        <v>0</v>
      </c>
      <c r="R17" s="31">
        <f t="shared" si="13"/>
        <v>0.41230158035440778</v>
      </c>
      <c r="S17" s="32">
        <f t="shared" si="13"/>
        <v>-0.96467997967537789</v>
      </c>
      <c r="T17" s="34">
        <f t="shared" si="14"/>
        <v>-2.0822821287235671E-2</v>
      </c>
      <c r="U17" s="35">
        <f t="shared" si="15"/>
        <v>171.43558624593047</v>
      </c>
      <c r="V17" s="36">
        <f t="shared" si="16"/>
        <v>0.81394102980498528</v>
      </c>
      <c r="W17" s="14">
        <f t="shared" si="17"/>
        <v>0.99911097234254143</v>
      </c>
      <c r="X17" s="15">
        <f t="shared" si="18"/>
        <v>9.9942324331119603E-2</v>
      </c>
      <c r="Y17" s="35">
        <f t="shared" si="19"/>
        <v>9131.5973804906789</v>
      </c>
      <c r="Z17" s="30">
        <f t="shared" si="39"/>
        <v>662.5</v>
      </c>
      <c r="AA17" s="37">
        <f t="shared" si="20"/>
        <v>192.09024257631714</v>
      </c>
      <c r="AB17" s="31">
        <f t="shared" si="21"/>
        <v>-1.1264346973431421</v>
      </c>
      <c r="AC17" s="31">
        <f t="shared" si="22"/>
        <v>4.6237242998816153E-3</v>
      </c>
      <c r="AD17" s="31">
        <f t="shared" si="23"/>
        <v>0.39026567182594535</v>
      </c>
      <c r="AE17" s="31">
        <f t="shared" si="24"/>
        <v>-2.7028497256451325</v>
      </c>
      <c r="AF17" s="31">
        <f t="shared" si="25"/>
        <v>-0.18045254414733633</v>
      </c>
      <c r="AG17" s="37">
        <f t="shared" si="26"/>
        <v>8158.6410672806223</v>
      </c>
      <c r="AH17" s="31">
        <f t="shared" si="27"/>
        <v>6.1264346973431421</v>
      </c>
      <c r="AI17" s="31">
        <f t="shared" si="28"/>
        <v>-4.6237242998816153E-3</v>
      </c>
      <c r="AJ17" s="31">
        <f t="shared" si="29"/>
        <v>-0.39026567182594535</v>
      </c>
      <c r="AK17" s="31">
        <f t="shared" si="30"/>
        <v>3.1151513059995413</v>
      </c>
      <c r="AL17" s="31">
        <f t="shared" si="31"/>
        <v>-0.78422743552804164</v>
      </c>
      <c r="AM17" s="37">
        <f t="shared" si="32"/>
        <v>8326.7282264779005</v>
      </c>
      <c r="AN17" s="31">
        <f t="shared" si="33"/>
        <v>5</v>
      </c>
      <c r="AO17" s="31">
        <f t="shared" si="33"/>
        <v>0</v>
      </c>
      <c r="AP17" s="31">
        <f t="shared" si="33"/>
        <v>0</v>
      </c>
      <c r="AQ17" s="31">
        <f t="shared" si="33"/>
        <v>0.41230158035440878</v>
      </c>
      <c r="AR17" s="31">
        <f t="shared" si="33"/>
        <v>-0.964679979675378</v>
      </c>
      <c r="AS17" s="38">
        <f t="shared" si="34"/>
        <v>-2.0822821287235671E-2</v>
      </c>
      <c r="AT17" s="35">
        <f t="shared" si="35"/>
        <v>168.08715919727769</v>
      </c>
      <c r="AU17" s="30">
        <v>662.5</v>
      </c>
      <c r="AV17" s="37">
        <v>216.44523770225189</v>
      </c>
      <c r="AW17" s="31">
        <v>-1.108053568946209</v>
      </c>
      <c r="AX17" s="31">
        <v>4.6098517501480816E-3</v>
      </c>
      <c r="AY17" s="31">
        <v>0.58364213789810537</v>
      </c>
      <c r="AZ17" s="31">
        <v>-6.1580504547636652</v>
      </c>
      <c r="BA17" s="31">
        <v>-0.18279437060175327</v>
      </c>
      <c r="BB17" s="37">
        <v>8158.6410672806223</v>
      </c>
      <c r="BC17" s="31">
        <v>6.1080535689462101</v>
      </c>
      <c r="BD17" s="31">
        <v>-4.6098517501480816E-3</v>
      </c>
      <c r="BE17" s="31">
        <v>-0.58364213789810537</v>
      </c>
      <c r="BF17" s="31">
        <v>6.5703520351180726</v>
      </c>
      <c r="BG17" s="31">
        <v>-0.7818856090736247</v>
      </c>
      <c r="BH17" s="37">
        <v>8321.1609124510815</v>
      </c>
      <c r="BI17" s="31">
        <v>5.0000000000000009</v>
      </c>
      <c r="BJ17" s="31">
        <v>0</v>
      </c>
      <c r="BK17" s="31">
        <v>0</v>
      </c>
      <c r="BL17" s="31">
        <v>0.41230158035440745</v>
      </c>
      <c r="BM17" s="31">
        <v>-0.964679979675378</v>
      </c>
      <c r="BN17" s="38">
        <v>-2.0822821287235671E-2</v>
      </c>
      <c r="BO17" s="35">
        <v>162.51984517045904</v>
      </c>
      <c r="BP17" s="30">
        <v>662.5</v>
      </c>
      <c r="BQ17" s="37">
        <v>250.41951865074964</v>
      </c>
      <c r="BR17" s="31">
        <v>-1.0824126021926261</v>
      </c>
      <c r="BS17" s="31">
        <v>4.5905000771265091E-3</v>
      </c>
      <c r="BT17" s="31">
        <v>0.77492275941396438</v>
      </c>
      <c r="BU17" s="31">
        <v>-10.960473460067163</v>
      </c>
      <c r="BV17" s="31">
        <v>-0.18606112838526256</v>
      </c>
      <c r="BW17" s="37">
        <v>8158.6410672806223</v>
      </c>
      <c r="BX17" s="31">
        <v>6.082412602192627</v>
      </c>
      <c r="BY17" s="31">
        <v>-4.5905000771265091E-3</v>
      </c>
      <c r="BZ17" s="31">
        <v>-0.77492275941396438</v>
      </c>
      <c r="CA17" s="31">
        <v>11.372775040421571</v>
      </c>
      <c r="CB17" s="31">
        <v>-0.77861885129011521</v>
      </c>
      <c r="CC17" s="37">
        <v>8313.3947236303666</v>
      </c>
      <c r="CD17" s="31">
        <v>5.0000000000000009</v>
      </c>
      <c r="CE17" s="31">
        <v>0</v>
      </c>
      <c r="CF17" s="31">
        <v>0</v>
      </c>
      <c r="CG17" s="31">
        <v>0.41230158035440745</v>
      </c>
      <c r="CH17" s="31">
        <v>-0.96467997967537777</v>
      </c>
      <c r="CI17" s="38">
        <v>-2.0822821287235671E-2</v>
      </c>
      <c r="CJ17" s="35">
        <v>154.75365634974315</v>
      </c>
    </row>
    <row r="18" spans="1:88">
      <c r="A18" s="30">
        <f t="shared" si="38"/>
        <v>775</v>
      </c>
      <c r="B18" s="30">
        <f t="shared" si="0"/>
        <v>76.534259301387351</v>
      </c>
      <c r="C18" s="31">
        <f t="shared" si="1"/>
        <v>-0.67456900468038272</v>
      </c>
      <c r="D18" s="31">
        <f t="shared" si="2"/>
        <v>3.6610122610841178E-3</v>
      </c>
      <c r="E18" s="31">
        <f t="shared" si="3"/>
        <v>0.21143225858785081</v>
      </c>
      <c r="F18" s="31">
        <f t="shared" si="4"/>
        <v>-0.70378679185300153</v>
      </c>
      <c r="G18" s="32">
        <f t="shared" si="5"/>
        <v>-0.11525485344782382</v>
      </c>
      <c r="H18" s="30">
        <f t="shared" si="6"/>
        <v>8822.6392000602737</v>
      </c>
      <c r="I18" s="31">
        <f t="shared" si="7"/>
        <v>5.6745690046803832</v>
      </c>
      <c r="J18" s="31">
        <f t="shared" si="8"/>
        <v>-3.6610122610841178E-3</v>
      </c>
      <c r="K18" s="31">
        <f t="shared" si="9"/>
        <v>-0.21143225858785081</v>
      </c>
      <c r="L18" s="31">
        <f t="shared" si="10"/>
        <v>1.1160883722074095</v>
      </c>
      <c r="M18" s="32">
        <f t="shared" si="11"/>
        <v>-0.84942512622755417</v>
      </c>
      <c r="N18" s="30">
        <f t="shared" si="12"/>
        <v>8893.1669662310942</v>
      </c>
      <c r="O18" s="33">
        <f t="shared" si="13"/>
        <v>5</v>
      </c>
      <c r="P18" s="31">
        <f t="shared" si="13"/>
        <v>0</v>
      </c>
      <c r="Q18" s="31">
        <f t="shared" si="13"/>
        <v>0</v>
      </c>
      <c r="R18" s="31">
        <f t="shared" si="13"/>
        <v>0.412301580354408</v>
      </c>
      <c r="S18" s="32">
        <f t="shared" si="13"/>
        <v>-0.964679979675378</v>
      </c>
      <c r="T18" s="34">
        <f t="shared" si="14"/>
        <v>-8.0666556811825885E-3</v>
      </c>
      <c r="U18" s="35">
        <f t="shared" si="15"/>
        <v>70.527766170821451</v>
      </c>
      <c r="V18" s="36">
        <f t="shared" si="16"/>
        <v>0.88034084308295046</v>
      </c>
      <c r="W18" s="14">
        <f t="shared" si="17"/>
        <v>0.99911097234254143</v>
      </c>
      <c r="X18" s="15">
        <f t="shared" si="18"/>
        <v>9.9942324331119603E-2</v>
      </c>
      <c r="Y18" s="35">
        <f t="shared" si="19"/>
        <v>9795.005200565789</v>
      </c>
      <c r="Z18" s="30">
        <f t="shared" si="39"/>
        <v>775</v>
      </c>
      <c r="AA18" s="37">
        <f t="shared" si="20"/>
        <v>92.377392733347108</v>
      </c>
      <c r="AB18" s="31">
        <f t="shared" si="21"/>
        <v>-0.66434762827266725</v>
      </c>
      <c r="AC18" s="31">
        <f t="shared" si="22"/>
        <v>3.654417824692043E-3</v>
      </c>
      <c r="AD18" s="31">
        <f t="shared" si="23"/>
        <v>0.42210282806839589</v>
      </c>
      <c r="AE18" s="31">
        <f t="shared" si="24"/>
        <v>-2.956849174899971</v>
      </c>
      <c r="AF18" s="31">
        <f t="shared" si="25"/>
        <v>-0.11677823166243527</v>
      </c>
      <c r="AG18" s="37">
        <f t="shared" si="26"/>
        <v>8822.6392000602737</v>
      </c>
      <c r="AH18" s="31">
        <f t="shared" si="27"/>
        <v>5.6643476282726679</v>
      </c>
      <c r="AI18" s="31">
        <f t="shared" si="28"/>
        <v>-3.654417824692043E-3</v>
      </c>
      <c r="AJ18" s="31">
        <f t="shared" si="29"/>
        <v>-0.42210282806839589</v>
      </c>
      <c r="AK18" s="31">
        <f t="shared" si="30"/>
        <v>3.3691507552543793</v>
      </c>
      <c r="AL18" s="31">
        <f t="shared" si="31"/>
        <v>-0.8479017480129426</v>
      </c>
      <c r="AM18" s="37">
        <f t="shared" si="32"/>
        <v>8891.0135094145826</v>
      </c>
      <c r="AN18" s="31">
        <f t="shared" si="33"/>
        <v>5.0000000000000009</v>
      </c>
      <c r="AO18" s="31">
        <f t="shared" si="33"/>
        <v>0</v>
      </c>
      <c r="AP18" s="31">
        <f t="shared" si="33"/>
        <v>0</v>
      </c>
      <c r="AQ18" s="31">
        <f t="shared" si="33"/>
        <v>0.41230158035440834</v>
      </c>
      <c r="AR18" s="31">
        <f t="shared" si="33"/>
        <v>-0.96467997967537789</v>
      </c>
      <c r="AS18" s="38">
        <f t="shared" si="34"/>
        <v>-8.0666556811825885E-3</v>
      </c>
      <c r="AT18" s="35">
        <f t="shared" si="35"/>
        <v>68.374309354307655</v>
      </c>
      <c r="AU18" s="30">
        <v>775</v>
      </c>
      <c r="AV18" s="37">
        <v>118.7192235998713</v>
      </c>
      <c r="AW18" s="31">
        <v>-0.64735289868136126</v>
      </c>
      <c r="AX18" s="31">
        <v>3.6434534830202332E-3</v>
      </c>
      <c r="AY18" s="31">
        <v>0.63125459083818103</v>
      </c>
      <c r="AZ18" s="31">
        <v>-6.6939188292234739</v>
      </c>
      <c r="BA18" s="31">
        <v>-0.11931110001498567</v>
      </c>
      <c r="BB18" s="37">
        <v>8822.6392000602737</v>
      </c>
      <c r="BC18" s="31">
        <v>5.6473528986813619</v>
      </c>
      <c r="BD18" s="31">
        <v>-3.6434534830202332E-3</v>
      </c>
      <c r="BE18" s="31">
        <v>-0.63125459083818103</v>
      </c>
      <c r="BF18" s="31">
        <v>7.1062204095778814</v>
      </c>
      <c r="BG18" s="31">
        <v>-0.84536887966039231</v>
      </c>
      <c r="BH18" s="37">
        <v>8887.433031128352</v>
      </c>
      <c r="BI18" s="31">
        <v>5.0000000000000009</v>
      </c>
      <c r="BJ18" s="31">
        <v>0</v>
      </c>
      <c r="BK18" s="31">
        <v>0</v>
      </c>
      <c r="BL18" s="31">
        <v>0.41230158035440745</v>
      </c>
      <c r="BM18" s="31">
        <v>-0.964679979675378</v>
      </c>
      <c r="BN18" s="38">
        <v>-8.0666556811825885E-3</v>
      </c>
      <c r="BO18" s="35">
        <v>64.793831068078447</v>
      </c>
      <c r="BP18" s="30">
        <v>775</v>
      </c>
      <c r="BQ18" s="37">
        <v>155.46506394717886</v>
      </c>
      <c r="BR18" s="31">
        <v>-0.62364590490890426</v>
      </c>
      <c r="BS18" s="31">
        <v>3.6281586483283257E-3</v>
      </c>
      <c r="BT18" s="31">
        <v>0.83813953390469254</v>
      </c>
      <c r="BU18" s="31">
        <v>-11.888114676977679</v>
      </c>
      <c r="BV18" s="31">
        <v>-0.12284435389453449</v>
      </c>
      <c r="BW18" s="37">
        <v>8822.6392000602737</v>
      </c>
      <c r="BX18" s="31">
        <v>5.6236459049089049</v>
      </c>
      <c r="BY18" s="31">
        <v>-3.6281586483283257E-3</v>
      </c>
      <c r="BZ18" s="31">
        <v>-0.83813953390469254</v>
      </c>
      <c r="CA18" s="31">
        <v>12.300416257332088</v>
      </c>
      <c r="CB18" s="31">
        <v>-0.84183562578084348</v>
      </c>
      <c r="CC18" s="37">
        <v>8882.4384017064458</v>
      </c>
      <c r="CD18" s="31">
        <v>5.0000000000000009</v>
      </c>
      <c r="CE18" s="31">
        <v>0</v>
      </c>
      <c r="CF18" s="31">
        <v>0</v>
      </c>
      <c r="CG18" s="31">
        <v>0.41230158035440923</v>
      </c>
      <c r="CH18" s="31">
        <v>-0.964679979675378</v>
      </c>
      <c r="CI18" s="38">
        <v>-8.0666556811825885E-3</v>
      </c>
      <c r="CJ18" s="35">
        <v>59.799201646172378</v>
      </c>
    </row>
    <row r="19" spans="1:88">
      <c r="A19" s="30">
        <f t="shared" si="38"/>
        <v>887.5</v>
      </c>
      <c r="B19" s="30">
        <f t="shared" si="0"/>
        <v>22.269658117207712</v>
      </c>
      <c r="C19" s="31">
        <f t="shared" si="1"/>
        <v>-0.30273045545846322</v>
      </c>
      <c r="D19" s="31">
        <f t="shared" si="2"/>
        <v>2.9874537777230758E-3</v>
      </c>
      <c r="E19" s="31">
        <f t="shared" si="3"/>
        <v>0.22625833073170123</v>
      </c>
      <c r="F19" s="31">
        <f t="shared" si="4"/>
        <v>-0.78193847077017475</v>
      </c>
      <c r="G19" s="32">
        <f t="shared" si="5"/>
        <v>-5.5950564872422032E-2</v>
      </c>
      <c r="H19" s="30">
        <f t="shared" si="6"/>
        <v>9439.9526099391551</v>
      </c>
      <c r="I19" s="31">
        <f t="shared" si="7"/>
        <v>5.3027304554584633</v>
      </c>
      <c r="J19" s="31">
        <f t="shared" si="8"/>
        <v>-2.9874537777230758E-3</v>
      </c>
      <c r="K19" s="31">
        <f t="shared" si="9"/>
        <v>-0.22625833073170123</v>
      </c>
      <c r="L19" s="31">
        <f t="shared" si="10"/>
        <v>1.1942400511245828</v>
      </c>
      <c r="M19" s="32">
        <f t="shared" si="11"/>
        <v>-0.90872941480295599</v>
      </c>
      <c r="N19" s="30">
        <f t="shared" si="12"/>
        <v>9456.2157749257967</v>
      </c>
      <c r="O19" s="33">
        <f t="shared" si="13"/>
        <v>5</v>
      </c>
      <c r="P19" s="31">
        <f t="shared" si="13"/>
        <v>0</v>
      </c>
      <c r="Q19" s="31">
        <f t="shared" si="13"/>
        <v>0</v>
      </c>
      <c r="R19" s="31">
        <f t="shared" si="13"/>
        <v>0.412301580354408</v>
      </c>
      <c r="S19" s="32">
        <f t="shared" si="13"/>
        <v>-0.964679979675378</v>
      </c>
      <c r="T19" s="34">
        <f t="shared" si="14"/>
        <v>-1.7778182030849798E-3</v>
      </c>
      <c r="U19" s="35">
        <f t="shared" si="15"/>
        <v>16.263164986641819</v>
      </c>
      <c r="V19" s="36">
        <f t="shared" si="16"/>
        <v>0.94207218407083859</v>
      </c>
      <c r="W19" s="14">
        <f t="shared" si="17"/>
        <v>0.99911097234254143</v>
      </c>
      <c r="X19" s="15">
        <f t="shared" si="18"/>
        <v>9.9942324331119603E-2</v>
      </c>
      <c r="Y19" s="35">
        <f t="shared" si="19"/>
        <v>10411.769801749968</v>
      </c>
      <c r="Z19" s="30">
        <f t="shared" si="39"/>
        <v>887.5</v>
      </c>
      <c r="AA19" s="37">
        <f t="shared" si="20"/>
        <v>39.223745198415649</v>
      </c>
      <c r="AB19" s="31">
        <f t="shared" si="21"/>
        <v>-0.29317885710285335</v>
      </c>
      <c r="AC19" s="31">
        <f t="shared" si="22"/>
        <v>2.9820725955509012E-3</v>
      </c>
      <c r="AD19" s="31">
        <f t="shared" si="23"/>
        <v>0.45170156112295984</v>
      </c>
      <c r="AE19" s="31">
        <f t="shared" si="24"/>
        <v>-3.1929902999818625</v>
      </c>
      <c r="AF19" s="31">
        <f t="shared" si="25"/>
        <v>-5.7580765553307316E-2</v>
      </c>
      <c r="AG19" s="37">
        <f t="shared" si="26"/>
        <v>9439.9526099391551</v>
      </c>
      <c r="AH19" s="31">
        <f t="shared" si="27"/>
        <v>5.2931788571028529</v>
      </c>
      <c r="AI19" s="31">
        <f t="shared" si="28"/>
        <v>-2.9820725955509012E-3</v>
      </c>
      <c r="AJ19" s="31">
        <f t="shared" si="29"/>
        <v>-0.45170156112295984</v>
      </c>
      <c r="AK19" s="31">
        <f t="shared" si="30"/>
        <v>3.6052918803362708</v>
      </c>
      <c r="AL19" s="31">
        <f t="shared" si="31"/>
        <v>-0.90709921412207051</v>
      </c>
      <c r="AM19" s="37">
        <f t="shared" si="32"/>
        <v>9455.1732717585328</v>
      </c>
      <c r="AN19" s="31">
        <f t="shared" si="33"/>
        <v>4.9999999999999991</v>
      </c>
      <c r="AO19" s="31">
        <f t="shared" si="33"/>
        <v>0</v>
      </c>
      <c r="AP19" s="31">
        <f t="shared" si="33"/>
        <v>0</v>
      </c>
      <c r="AQ19" s="31">
        <f t="shared" si="33"/>
        <v>0.41230158035440834</v>
      </c>
      <c r="AR19" s="31">
        <f t="shared" si="33"/>
        <v>-0.96467997967537777</v>
      </c>
      <c r="AS19" s="38">
        <f t="shared" si="34"/>
        <v>-1.7778182030849798E-3</v>
      </c>
      <c r="AT19" s="35">
        <f t="shared" si="35"/>
        <v>15.220661819376204</v>
      </c>
      <c r="AU19" s="30">
        <v>887.5</v>
      </c>
      <c r="AV19" s="37">
        <v>67.412720334392162</v>
      </c>
      <c r="AW19" s="31">
        <v>-0.27729774435018928</v>
      </c>
      <c r="AX19" s="31">
        <v>2.9731254897747529E-3</v>
      </c>
      <c r="AY19" s="31">
        <v>0.67551948290059516</v>
      </c>
      <c r="AZ19" s="31">
        <v>-7.1921110938601807</v>
      </c>
      <c r="BA19" s="31">
        <v>-6.0291243931766589E-2</v>
      </c>
      <c r="BB19" s="37">
        <v>9439.9526099391551</v>
      </c>
      <c r="BC19" s="31">
        <v>5.2772977443501903</v>
      </c>
      <c r="BD19" s="31">
        <v>-2.9731254897747529E-3</v>
      </c>
      <c r="BE19" s="31">
        <v>-0.67551948290059516</v>
      </c>
      <c r="BF19" s="31">
        <v>7.6044126742145899</v>
      </c>
      <c r="BG19" s="31">
        <v>-0.90438873574361123</v>
      </c>
      <c r="BH19" s="37">
        <v>9453.439937741754</v>
      </c>
      <c r="BI19" s="31">
        <v>5.0000000000000009</v>
      </c>
      <c r="BJ19" s="31">
        <v>0</v>
      </c>
      <c r="BK19" s="31">
        <v>0</v>
      </c>
      <c r="BL19" s="31">
        <v>0.41230158035440923</v>
      </c>
      <c r="BM19" s="31">
        <v>-0.96467997967537777</v>
      </c>
      <c r="BN19" s="38">
        <v>-1.7778182030849798E-3</v>
      </c>
      <c r="BO19" s="35">
        <v>13.48732780259931</v>
      </c>
      <c r="BP19" s="30">
        <v>887.5</v>
      </c>
      <c r="BQ19" s="37">
        <v>106.73525585401799</v>
      </c>
      <c r="BR19" s="31">
        <v>-0.25514420321237263</v>
      </c>
      <c r="BS19" s="31">
        <v>2.9606446215280956E-3</v>
      </c>
      <c r="BT19" s="31">
        <v>0.89691163083672709</v>
      </c>
      <c r="BU19" s="31">
        <v>-12.750534817163921</v>
      </c>
      <c r="BV19" s="31">
        <v>-6.4072256962499949E-2</v>
      </c>
      <c r="BW19" s="37">
        <v>9439.9526099391551</v>
      </c>
      <c r="BX19" s="31">
        <v>5.2551442032123727</v>
      </c>
      <c r="BY19" s="31">
        <v>-2.9606446215280956E-3</v>
      </c>
      <c r="BZ19" s="31">
        <v>-0.89691163083672709</v>
      </c>
      <c r="CA19" s="31">
        <v>13.16283639751833</v>
      </c>
      <c r="CB19" s="31">
        <v>-0.90060772271287803</v>
      </c>
      <c r="CC19" s="37">
        <v>9451.0220034921676</v>
      </c>
      <c r="CD19" s="31">
        <v>5</v>
      </c>
      <c r="CE19" s="31">
        <v>0</v>
      </c>
      <c r="CF19" s="31">
        <v>0</v>
      </c>
      <c r="CG19" s="31">
        <v>0.41230158035440923</v>
      </c>
      <c r="CH19" s="31">
        <v>-0.964679979675378</v>
      </c>
      <c r="CI19" s="38">
        <v>-1.7778182030849798E-3</v>
      </c>
      <c r="CJ19" s="35">
        <v>11.069393553011508</v>
      </c>
    </row>
    <row r="20" spans="1:88">
      <c r="A20" s="30">
        <f>F2</f>
        <v>1000</v>
      </c>
      <c r="B20" s="30">
        <f t="shared" si="0"/>
        <v>6.0064931305658931</v>
      </c>
      <c r="C20" s="31">
        <f t="shared" si="1"/>
        <v>4.4451382872929147E-3</v>
      </c>
      <c r="D20" s="31">
        <f t="shared" si="2"/>
        <v>2.4977774308563546E-3</v>
      </c>
      <c r="E20" s="31">
        <f t="shared" si="3"/>
        <v>0.24017090681311093</v>
      </c>
      <c r="F20" s="31">
        <f t="shared" si="4"/>
        <v>-0.85527489921026301</v>
      </c>
      <c r="G20" s="32">
        <f t="shared" si="5"/>
        <v>-3.0026054678330641E-4</v>
      </c>
      <c r="H20" s="30">
        <f t="shared" si="6"/>
        <v>10019.23076923077</v>
      </c>
      <c r="I20" s="31">
        <f t="shared" si="7"/>
        <v>4.9955548617127068</v>
      </c>
      <c r="J20" s="31">
        <f t="shared" si="8"/>
        <v>-2.4977774308563546E-3</v>
      </c>
      <c r="K20" s="31">
        <f t="shared" si="9"/>
        <v>-0.24017090681311093</v>
      </c>
      <c r="L20" s="31">
        <f t="shared" si="10"/>
        <v>1.2675764795646709</v>
      </c>
      <c r="M20" s="32">
        <f t="shared" si="11"/>
        <v>-0.96437971912859466</v>
      </c>
      <c r="N20" s="30">
        <f t="shared" si="12"/>
        <v>10019.23076923077</v>
      </c>
      <c r="O20" s="33">
        <f t="shared" si="13"/>
        <v>5</v>
      </c>
      <c r="P20" s="31">
        <f t="shared" si="13"/>
        <v>0</v>
      </c>
      <c r="Q20" s="31">
        <f t="shared" si="13"/>
        <v>0</v>
      </c>
      <c r="R20" s="31">
        <f t="shared" si="13"/>
        <v>0.41230158035440789</v>
      </c>
      <c r="S20" s="32">
        <f t="shared" si="13"/>
        <v>-0.964679979675378</v>
      </c>
      <c r="T20" s="34">
        <f t="shared" si="14"/>
        <v>0</v>
      </c>
      <c r="U20" s="39">
        <f t="shared" si="15"/>
        <v>0</v>
      </c>
      <c r="V20" s="36">
        <f t="shared" si="16"/>
        <v>1</v>
      </c>
      <c r="W20" s="14">
        <f t="shared" si="17"/>
        <v>0.99911097234254143</v>
      </c>
      <c r="X20" s="15">
        <f t="shared" si="18"/>
        <v>9.9942324331119603E-2</v>
      </c>
      <c r="Y20" s="35">
        <f t="shared" si="19"/>
        <v>10990.53296673661</v>
      </c>
      <c r="Z20" s="30">
        <f>AE2</f>
        <v>1000</v>
      </c>
      <c r="AA20" s="37">
        <f t="shared" si="20"/>
        <v>24.003083379039445</v>
      </c>
      <c r="AB20" s="31">
        <f t="shared" si="21"/>
        <v>1.3443433411529458E-2</v>
      </c>
      <c r="AC20" s="31">
        <f t="shared" si="22"/>
        <v>2.493278283294236E-3</v>
      </c>
      <c r="AD20" s="31">
        <f t="shared" si="23"/>
        <v>0.4794765929411991</v>
      </c>
      <c r="AE20" s="31">
        <f t="shared" si="24"/>
        <v>-3.4145817867071022</v>
      </c>
      <c r="AF20" s="31">
        <f t="shared" si="25"/>
        <v>-2.0307019168288322E-3</v>
      </c>
      <c r="AG20" s="37">
        <f t="shared" si="26"/>
        <v>10019.23076923077</v>
      </c>
      <c r="AH20" s="31">
        <f t="shared" si="27"/>
        <v>4.9865565665884706</v>
      </c>
      <c r="AI20" s="31">
        <f t="shared" si="28"/>
        <v>-2.493278283294236E-3</v>
      </c>
      <c r="AJ20" s="31">
        <f t="shared" si="29"/>
        <v>-0.4794765929411991</v>
      </c>
      <c r="AK20" s="31">
        <f t="shared" si="30"/>
        <v>3.8268833670615106</v>
      </c>
      <c r="AL20" s="31">
        <f t="shared" si="31"/>
        <v>-0.96264927775854914</v>
      </c>
      <c r="AM20" s="37">
        <f t="shared" si="32"/>
        <v>10019.23076923077</v>
      </c>
      <c r="AN20" s="31">
        <f t="shared" si="33"/>
        <v>5</v>
      </c>
      <c r="AO20" s="31">
        <f t="shared" si="33"/>
        <v>0</v>
      </c>
      <c r="AP20" s="31">
        <f t="shared" si="33"/>
        <v>0</v>
      </c>
      <c r="AQ20" s="31">
        <f t="shared" si="33"/>
        <v>0.41230158035440834</v>
      </c>
      <c r="AR20" s="31">
        <f t="shared" si="33"/>
        <v>-0.964679979675378</v>
      </c>
      <c r="AS20" s="38">
        <f t="shared" si="34"/>
        <v>0</v>
      </c>
      <c r="AT20" s="35">
        <f t="shared" si="35"/>
        <v>0</v>
      </c>
      <c r="AU20" s="30">
        <v>1000</v>
      </c>
      <c r="AV20" s="37">
        <v>53.925392531792852</v>
      </c>
      <c r="AW20" s="31">
        <v>2.8404587987906731E-2</v>
      </c>
      <c r="AX20" s="31">
        <v>2.4857977060060476E-3</v>
      </c>
      <c r="AY20" s="31">
        <v>0.71705703057866732</v>
      </c>
      <c r="AZ20" s="31">
        <v>-7.6596076578643455</v>
      </c>
      <c r="BA20" s="31">
        <v>-4.9078470276704422E-3</v>
      </c>
      <c r="BB20" s="37">
        <v>10019.23076923077</v>
      </c>
      <c r="BC20" s="31">
        <v>4.9715954120120935</v>
      </c>
      <c r="BD20" s="31">
        <v>-2.4857977060060476E-3</v>
      </c>
      <c r="BE20" s="31">
        <v>-0.71705703057866732</v>
      </c>
      <c r="BF20" s="31">
        <v>8.0719092382187529</v>
      </c>
      <c r="BG20" s="31">
        <v>-0.95977213264770744</v>
      </c>
      <c r="BH20" s="37">
        <v>10019.23076923077</v>
      </c>
      <c r="BI20" s="31">
        <v>5</v>
      </c>
      <c r="BJ20" s="31">
        <v>0</v>
      </c>
      <c r="BK20" s="31">
        <v>0</v>
      </c>
      <c r="BL20" s="31">
        <v>0.41230158035440745</v>
      </c>
      <c r="BM20" s="31">
        <v>-0.96467997967537789</v>
      </c>
      <c r="BN20" s="38">
        <v>0</v>
      </c>
      <c r="BO20" s="35">
        <v>0</v>
      </c>
      <c r="BP20" s="30">
        <v>1000</v>
      </c>
      <c r="BQ20" s="37">
        <v>95.665862301006484</v>
      </c>
      <c r="BR20" s="31">
        <v>4.9274822872513162E-2</v>
      </c>
      <c r="BS20" s="31">
        <v>2.4753625885637442E-3</v>
      </c>
      <c r="BT20" s="31">
        <v>0.95206253406297836</v>
      </c>
      <c r="BU20" s="31">
        <v>-13.559817660122281</v>
      </c>
      <c r="BV20" s="31">
        <v>-8.9213537362486765E-3</v>
      </c>
      <c r="BW20" s="37">
        <v>10019.23076923077</v>
      </c>
      <c r="BX20" s="31">
        <v>4.9507251771274872</v>
      </c>
      <c r="BY20" s="31">
        <v>-2.4753625885637442E-3</v>
      </c>
      <c r="BZ20" s="31">
        <v>-0.95206253406297836</v>
      </c>
      <c r="CA20" s="31">
        <v>13.972119240476687</v>
      </c>
      <c r="CB20" s="31">
        <v>-0.95575862593912919</v>
      </c>
      <c r="CC20" s="37">
        <v>10019.23076923077</v>
      </c>
      <c r="CD20" s="31">
        <v>5</v>
      </c>
      <c r="CE20" s="31">
        <v>0</v>
      </c>
      <c r="CF20" s="31">
        <v>0</v>
      </c>
      <c r="CG20" s="31">
        <v>0.41230158035440567</v>
      </c>
      <c r="CH20" s="31">
        <v>-0.96467997967537789</v>
      </c>
      <c r="CI20" s="38">
        <v>0</v>
      </c>
      <c r="CJ20" s="35">
        <v>0</v>
      </c>
    </row>
    <row r="21" spans="1:88">
      <c r="A21" s="30">
        <f>A20+200</f>
        <v>1200</v>
      </c>
      <c r="B21" s="30">
        <f t="shared" si="0"/>
        <v>52.403876497379983</v>
      </c>
      <c r="C21" s="31">
        <f t="shared" si="1"/>
        <v>0.43970319164224941</v>
      </c>
      <c r="D21" s="31">
        <f t="shared" si="2"/>
        <v>1.9001236701490629E-3</v>
      </c>
      <c r="E21" s="31">
        <f t="shared" si="3"/>
        <v>0.26309404663602409</v>
      </c>
      <c r="F21" s="31">
        <f t="shared" si="4"/>
        <v>-0.97610810748227639</v>
      </c>
      <c r="G21" s="32">
        <f t="shared" si="5"/>
        <v>9.1392298744869288E-2</v>
      </c>
      <c r="H21" s="30">
        <f t="shared" si="6"/>
        <v>10973.681919334091</v>
      </c>
      <c r="I21" s="31">
        <f t="shared" si="7"/>
        <v>4.5602968083577506</v>
      </c>
      <c r="J21" s="31">
        <f t="shared" si="8"/>
        <v>-1.9001236701490629E-3</v>
      </c>
      <c r="K21" s="31">
        <f t="shared" si="9"/>
        <v>-0.26309404663602409</v>
      </c>
      <c r="L21" s="31">
        <f t="shared" si="10"/>
        <v>1.3884096878366843</v>
      </c>
      <c r="M21" s="32">
        <f t="shared" si="11"/>
        <v>-1.056072278420247</v>
      </c>
      <c r="N21" s="30">
        <f t="shared" si="12"/>
        <v>11020.079302700904</v>
      </c>
      <c r="O21" s="33">
        <f t="shared" si="13"/>
        <v>5</v>
      </c>
      <c r="P21" s="31">
        <f t="shared" si="13"/>
        <v>0</v>
      </c>
      <c r="Q21" s="31">
        <f t="shared" si="13"/>
        <v>0</v>
      </c>
      <c r="R21" s="31">
        <f t="shared" si="13"/>
        <v>0.41230158035440789</v>
      </c>
      <c r="S21" s="32">
        <f t="shared" si="13"/>
        <v>-0.96467997967537766</v>
      </c>
      <c r="T21" s="34">
        <f t="shared" si="14"/>
        <v>-4.1408045360615819E-3</v>
      </c>
      <c r="U21" s="35">
        <f t="shared" si="15"/>
        <v>46.39738336681409</v>
      </c>
      <c r="V21" s="36">
        <f t="shared" si="16"/>
        <v>1.0954451150103321</v>
      </c>
      <c r="W21" s="14">
        <f t="shared" si="17"/>
        <v>0.99911097234254143</v>
      </c>
      <c r="X21" s="15">
        <f t="shared" si="18"/>
        <v>9.9942324331119603E-2</v>
      </c>
      <c r="Y21" s="35">
        <f t="shared" si="19"/>
        <v>11944.135583369796</v>
      </c>
      <c r="Z21" s="30">
        <f>Z20+200</f>
        <v>1200</v>
      </c>
      <c r="AA21" s="37">
        <f t="shared" si="20"/>
        <v>72.118153371911745</v>
      </c>
      <c r="AB21" s="31">
        <f t="shared" si="21"/>
        <v>0.44791747367330481</v>
      </c>
      <c r="AC21" s="31">
        <f t="shared" si="22"/>
        <v>1.8967010526361231E-3</v>
      </c>
      <c r="AD21" s="31">
        <f t="shared" si="23"/>
        <v>0.52524029149923412</v>
      </c>
      <c r="AE21" s="31">
        <f t="shared" si="24"/>
        <v>-3.7796883352029864</v>
      </c>
      <c r="AF21" s="31">
        <f t="shared" si="25"/>
        <v>8.9496695199241139E-2</v>
      </c>
      <c r="AG21" s="37">
        <f t="shared" si="26"/>
        <v>10973.681919334091</v>
      </c>
      <c r="AH21" s="31">
        <f t="shared" si="27"/>
        <v>4.5520825263266955</v>
      </c>
      <c r="AI21" s="31">
        <f t="shared" si="28"/>
        <v>-1.8967010526361231E-3</v>
      </c>
      <c r="AJ21" s="31">
        <f t="shared" si="29"/>
        <v>-0.52524029149923412</v>
      </c>
      <c r="AK21" s="31">
        <f t="shared" si="30"/>
        <v>4.1919899155573948</v>
      </c>
      <c r="AL21" s="31">
        <f t="shared" si="31"/>
        <v>-1.0541766748746191</v>
      </c>
      <c r="AM21" s="37">
        <f t="shared" si="32"/>
        <v>11021.796989326964</v>
      </c>
      <c r="AN21" s="31">
        <f t="shared" si="33"/>
        <v>5</v>
      </c>
      <c r="AO21" s="31">
        <f t="shared" si="33"/>
        <v>0</v>
      </c>
      <c r="AP21" s="31">
        <f t="shared" si="33"/>
        <v>0</v>
      </c>
      <c r="AQ21" s="31">
        <f t="shared" si="33"/>
        <v>0.41230158035440834</v>
      </c>
      <c r="AR21" s="31">
        <f t="shared" si="33"/>
        <v>-0.964679979675378</v>
      </c>
      <c r="AS21" s="38">
        <f t="shared" si="34"/>
        <v>-4.1408045360615819E-3</v>
      </c>
      <c r="AT21" s="35">
        <f t="shared" si="35"/>
        <v>48.1150699928723</v>
      </c>
      <c r="AU21" s="30">
        <v>1200</v>
      </c>
      <c r="AV21" s="37">
        <v>104.89640076312368</v>
      </c>
      <c r="AW21" s="31">
        <v>0.46157507675297699</v>
      </c>
      <c r="AX21" s="31">
        <v>1.8910103846862597E-3</v>
      </c>
      <c r="AY21" s="31">
        <v>0.78549662133121545</v>
      </c>
      <c r="AZ21" s="31">
        <v>-8.4298811888546687</v>
      </c>
      <c r="BA21" s="31">
        <v>8.6344940642393772E-2</v>
      </c>
      <c r="BB21" s="37">
        <v>10973.681919334091</v>
      </c>
      <c r="BC21" s="31">
        <v>4.5384249232470228</v>
      </c>
      <c r="BD21" s="31">
        <v>-1.8910103846862597E-3</v>
      </c>
      <c r="BE21" s="31">
        <v>-0.78549662133121545</v>
      </c>
      <c r="BF21" s="31">
        <v>8.8421827692090762</v>
      </c>
      <c r="BG21" s="31">
        <v>-1.0510249203177715</v>
      </c>
      <c r="BH21" s="37">
        <v>11024.652927565421</v>
      </c>
      <c r="BI21" s="31">
        <v>5</v>
      </c>
      <c r="BJ21" s="31">
        <v>0</v>
      </c>
      <c r="BK21" s="31">
        <v>0</v>
      </c>
      <c r="BL21" s="31">
        <v>0.41230158035440745</v>
      </c>
      <c r="BM21" s="31">
        <v>-0.96467997967537777</v>
      </c>
      <c r="BN21" s="38">
        <v>-4.1408045360615819E-3</v>
      </c>
      <c r="BO21" s="35">
        <v>50.971008231330828</v>
      </c>
      <c r="BP21" s="30">
        <v>1200</v>
      </c>
      <c r="BQ21" s="37">
        <v>150.6207944700466</v>
      </c>
      <c r="BR21" s="31">
        <v>0.48062690746419401</v>
      </c>
      <c r="BS21" s="31">
        <v>1.8830721218899191E-3</v>
      </c>
      <c r="BT21" s="31">
        <v>1.0429322521236477</v>
      </c>
      <c r="BU21" s="31">
        <v>-14.893237413363224</v>
      </c>
      <c r="BV21" s="31">
        <v>8.1948364324420597E-2</v>
      </c>
      <c r="BW21" s="37">
        <v>10973.681919334091</v>
      </c>
      <c r="BX21" s="31">
        <v>4.5193730925358055</v>
      </c>
      <c r="BY21" s="31">
        <v>-1.8830721218899191E-3</v>
      </c>
      <c r="BZ21" s="31">
        <v>-1.0429322521236477</v>
      </c>
      <c r="CA21" s="31">
        <v>15.305538993717629</v>
      </c>
      <c r="CB21" s="31">
        <v>-1.0466283439997983</v>
      </c>
      <c r="CC21" s="37">
        <v>11028.636851503132</v>
      </c>
      <c r="CD21" s="31">
        <v>5</v>
      </c>
      <c r="CE21" s="31">
        <v>0</v>
      </c>
      <c r="CF21" s="31">
        <v>0</v>
      </c>
      <c r="CG21" s="31">
        <v>0.41230158035440567</v>
      </c>
      <c r="CH21" s="31">
        <v>-0.96467997967537777</v>
      </c>
      <c r="CI21" s="38">
        <v>-4.1408045360615819E-3</v>
      </c>
      <c r="CJ21" s="35">
        <v>54.95493216904012</v>
      </c>
    </row>
    <row r="22" spans="1:88">
      <c r="A22" s="30">
        <f t="shared" ref="A22:A29" si="40">A21+200</f>
        <v>1400</v>
      </c>
      <c r="B22" s="30">
        <f t="shared" si="0"/>
        <v>175.47576745856165</v>
      </c>
      <c r="C22" s="31">
        <f t="shared" si="1"/>
        <v>0.77798555389377955</v>
      </c>
      <c r="D22" s="31">
        <f t="shared" si="2"/>
        <v>1.507862302180793E-3</v>
      </c>
      <c r="E22" s="31">
        <f t="shared" si="3"/>
        <v>0.28417404925714945</v>
      </c>
      <c r="F22" s="31">
        <f t="shared" si="4"/>
        <v>-1.0872257103399345</v>
      </c>
      <c r="G22" s="32">
        <f t="shared" si="5"/>
        <v>0.17571230922937089</v>
      </c>
      <c r="H22" s="30">
        <f t="shared" si="6"/>
        <v>11851.390335430002</v>
      </c>
      <c r="I22" s="31">
        <f t="shared" si="7"/>
        <v>4.222014446106221</v>
      </c>
      <c r="J22" s="31">
        <f t="shared" si="8"/>
        <v>-1.507862302180793E-3</v>
      </c>
      <c r="K22" s="31">
        <f t="shared" si="9"/>
        <v>-0.28417404925714945</v>
      </c>
      <c r="L22" s="31">
        <f t="shared" si="10"/>
        <v>1.4995272906943424</v>
      </c>
      <c r="M22" s="32">
        <f t="shared" si="11"/>
        <v>-1.1403922889047489</v>
      </c>
      <c r="N22" s="30">
        <f t="shared" si="12"/>
        <v>12020.859609757998</v>
      </c>
      <c r="O22" s="33">
        <f t="shared" si="13"/>
        <v>5.0000000000000009</v>
      </c>
      <c r="P22" s="31">
        <f t="shared" si="13"/>
        <v>0</v>
      </c>
      <c r="Q22" s="31">
        <f t="shared" si="13"/>
        <v>0</v>
      </c>
      <c r="R22" s="31">
        <f t="shared" si="13"/>
        <v>0.41230158035440789</v>
      </c>
      <c r="S22" s="32">
        <f t="shared" si="13"/>
        <v>-0.964679979675378</v>
      </c>
      <c r="T22" s="34">
        <f t="shared" si="14"/>
        <v>-1.3986702816730645E-2</v>
      </c>
      <c r="U22" s="35">
        <f t="shared" si="15"/>
        <v>169.46927432799575</v>
      </c>
      <c r="V22" s="36">
        <f t="shared" si="16"/>
        <v>1.1832159566199232</v>
      </c>
      <c r="W22" s="14">
        <f t="shared" si="17"/>
        <v>0.99911097234254143</v>
      </c>
      <c r="X22" s="15">
        <f t="shared" si="18"/>
        <v>9.9942324331119603E-2</v>
      </c>
      <c r="Y22" s="35">
        <f t="shared" si="19"/>
        <v>12821.063692408612</v>
      </c>
      <c r="Z22" s="30">
        <f t="shared" ref="Z22:Z29" si="41">Z21+200</f>
        <v>1400</v>
      </c>
      <c r="AA22" s="37">
        <f t="shared" si="20"/>
        <v>196.76962020530598</v>
      </c>
      <c r="AB22" s="31">
        <f t="shared" si="21"/>
        <v>0.78559050130333119</v>
      </c>
      <c r="AC22" s="31">
        <f t="shared" si="22"/>
        <v>1.5051462495345245E-3</v>
      </c>
      <c r="AD22" s="31">
        <f t="shared" si="23"/>
        <v>0.56732435559378247</v>
      </c>
      <c r="AE22" s="31">
        <f t="shared" si="24"/>
        <v>-4.1154384575134655</v>
      </c>
      <c r="AF22" s="31">
        <f t="shared" si="25"/>
        <v>0.17366482338833791</v>
      </c>
      <c r="AG22" s="37">
        <f t="shared" si="26"/>
        <v>11851.390335430002</v>
      </c>
      <c r="AH22" s="31">
        <f t="shared" si="27"/>
        <v>4.2144094986966696</v>
      </c>
      <c r="AI22" s="31">
        <f t="shared" si="28"/>
        <v>-1.5051462495345245E-3</v>
      </c>
      <c r="AJ22" s="31">
        <f t="shared" si="29"/>
        <v>-0.56732435559378247</v>
      </c>
      <c r="AK22" s="31">
        <f t="shared" si="30"/>
        <v>4.5277400378678738</v>
      </c>
      <c r="AL22" s="31">
        <f t="shared" si="31"/>
        <v>-1.1383448030637158</v>
      </c>
      <c r="AM22" s="37">
        <f t="shared" si="32"/>
        <v>12024.15687225627</v>
      </c>
      <c r="AN22" s="31">
        <f t="shared" si="33"/>
        <v>5.0000000000000009</v>
      </c>
      <c r="AO22" s="31">
        <f t="shared" si="33"/>
        <v>0</v>
      </c>
      <c r="AP22" s="31">
        <f t="shared" si="33"/>
        <v>0</v>
      </c>
      <c r="AQ22" s="31">
        <f t="shared" si="33"/>
        <v>0.41230158035440834</v>
      </c>
      <c r="AR22" s="31">
        <f t="shared" si="33"/>
        <v>-0.96467997967537789</v>
      </c>
      <c r="AS22" s="38">
        <f t="shared" si="34"/>
        <v>-1.3986702816730645E-2</v>
      </c>
      <c r="AT22" s="35">
        <f t="shared" si="35"/>
        <v>172.76653682626653</v>
      </c>
      <c r="AU22" s="30">
        <v>1400</v>
      </c>
      <c r="AV22" s="37">
        <v>232.17417385375859</v>
      </c>
      <c r="AW22" s="31">
        <v>0.79823498474920651</v>
      </c>
      <c r="AX22" s="31">
        <v>1.5006303625895688E-3</v>
      </c>
      <c r="AY22" s="31">
        <v>0.84843332038717945</v>
      </c>
      <c r="AZ22" s="31">
        <v>-9.1382208045311053</v>
      </c>
      <c r="BA22" s="31">
        <v>0.17026053938367894</v>
      </c>
      <c r="BB22" s="37">
        <v>11851.390335430002</v>
      </c>
      <c r="BC22" s="31">
        <v>4.2017650152507935</v>
      </c>
      <c r="BD22" s="31">
        <v>-1.5006303625895688E-3</v>
      </c>
      <c r="BE22" s="31">
        <v>-0.84843332038717945</v>
      </c>
      <c r="BF22" s="31">
        <v>9.5505223848855127</v>
      </c>
      <c r="BG22" s="31">
        <v>-1.1349405190590567</v>
      </c>
      <c r="BH22" s="37">
        <v>12029.639116751967</v>
      </c>
      <c r="BI22" s="31">
        <v>5</v>
      </c>
      <c r="BJ22" s="31">
        <v>0</v>
      </c>
      <c r="BK22" s="31">
        <v>0</v>
      </c>
      <c r="BL22" s="31">
        <v>0.41230158035440745</v>
      </c>
      <c r="BM22" s="31">
        <v>-0.96467997967537777</v>
      </c>
      <c r="BN22" s="38">
        <v>-1.3986702816730645E-2</v>
      </c>
      <c r="BO22" s="35">
        <v>178.24878132196574</v>
      </c>
      <c r="BP22" s="30">
        <v>1400</v>
      </c>
      <c r="BQ22" s="37">
        <v>281.56216372150266</v>
      </c>
      <c r="BR22" s="31">
        <v>0.81587355255911587</v>
      </c>
      <c r="BS22" s="31">
        <v>1.49433087408603E-3</v>
      </c>
      <c r="BT22" s="31">
        <v>1.1264955820033151</v>
      </c>
      <c r="BU22" s="31">
        <v>-16.119443426611166</v>
      </c>
      <c r="BV22" s="31">
        <v>0.16551169420408812</v>
      </c>
      <c r="BW22" s="37">
        <v>11851.390335430002</v>
      </c>
      <c r="BX22" s="31">
        <v>4.1841264474408844</v>
      </c>
      <c r="BY22" s="31">
        <v>-1.49433087408603E-3</v>
      </c>
      <c r="BZ22" s="31">
        <v>-1.1264955820033151</v>
      </c>
      <c r="CA22" s="31">
        <v>16.531745006965572</v>
      </c>
      <c r="CB22" s="31">
        <v>-1.130191673879466</v>
      </c>
      <c r="CC22" s="37">
        <v>12037.286636850498</v>
      </c>
      <c r="CD22" s="31">
        <v>5</v>
      </c>
      <c r="CE22" s="31">
        <v>0</v>
      </c>
      <c r="CF22" s="31">
        <v>0</v>
      </c>
      <c r="CG22" s="31">
        <v>0.41230158035440567</v>
      </c>
      <c r="CH22" s="31">
        <v>-0.96467997967537777</v>
      </c>
      <c r="CI22" s="38">
        <v>-1.3986702816730645E-2</v>
      </c>
      <c r="CJ22" s="35">
        <v>185.89630142049617</v>
      </c>
    </row>
    <row r="23" spans="1:88">
      <c r="A23" s="30">
        <f t="shared" si="40"/>
        <v>1600</v>
      </c>
      <c r="B23" s="30">
        <f t="shared" si="0"/>
        <v>359.25098508427402</v>
      </c>
      <c r="C23" s="31">
        <f t="shared" si="1"/>
        <v>1.050667115165093</v>
      </c>
      <c r="D23" s="31">
        <f t="shared" si="2"/>
        <v>1.2341665265109083E-3</v>
      </c>
      <c r="E23" s="31">
        <f t="shared" si="3"/>
        <v>0.3037948372949929</v>
      </c>
      <c r="F23" s="31">
        <f t="shared" si="4"/>
        <v>-1.1906514533120192</v>
      </c>
      <c r="G23" s="32">
        <f t="shared" si="5"/>
        <v>0.25419546138074467</v>
      </c>
      <c r="H23" s="30">
        <f t="shared" si="6"/>
        <v>12668.341409904288</v>
      </c>
      <c r="I23" s="31">
        <f t="shared" si="7"/>
        <v>3.9493328848349072</v>
      </c>
      <c r="J23" s="31">
        <f t="shared" si="8"/>
        <v>-1.2341665265109083E-3</v>
      </c>
      <c r="K23" s="31">
        <f t="shared" si="9"/>
        <v>-0.3037948372949929</v>
      </c>
      <c r="L23" s="31">
        <f t="shared" si="10"/>
        <v>1.6029530336664273</v>
      </c>
      <c r="M23" s="32">
        <f t="shared" si="11"/>
        <v>-1.2188754410561224</v>
      </c>
      <c r="N23" s="30">
        <f t="shared" si="12"/>
        <v>13021.585901857996</v>
      </c>
      <c r="O23" s="33">
        <f t="shared" si="13"/>
        <v>5</v>
      </c>
      <c r="P23" s="31">
        <f t="shared" si="13"/>
        <v>0</v>
      </c>
      <c r="Q23" s="31">
        <f t="shared" si="13"/>
        <v>0</v>
      </c>
      <c r="R23" s="31">
        <f t="shared" si="13"/>
        <v>0.41230158035440811</v>
      </c>
      <c r="S23" s="32">
        <f t="shared" si="13"/>
        <v>-0.96467997967537777</v>
      </c>
      <c r="T23" s="34">
        <f t="shared" si="14"/>
        <v>-2.6991489178960326E-2</v>
      </c>
      <c r="U23" s="35">
        <f t="shared" si="15"/>
        <v>353.24449195370812</v>
      </c>
      <c r="V23" s="36">
        <f t="shared" si="16"/>
        <v>1.2649110640673518</v>
      </c>
      <c r="W23" s="14">
        <f t="shared" si="17"/>
        <v>0.99911097234254143</v>
      </c>
      <c r="X23" s="15">
        <f t="shared" si="18"/>
        <v>9.9942324331119603E-2</v>
      </c>
      <c r="Y23" s="35">
        <f t="shared" si="19"/>
        <v>13637.288474782903</v>
      </c>
      <c r="Z23" s="30">
        <f t="shared" si="41"/>
        <v>1600</v>
      </c>
      <c r="AA23" s="37">
        <f t="shared" si="20"/>
        <v>382.01507120505516</v>
      </c>
      <c r="AB23" s="31">
        <f t="shared" si="21"/>
        <v>1.0577808920778369</v>
      </c>
      <c r="AC23" s="31">
        <f t="shared" si="22"/>
        <v>1.2319434712256758E-3</v>
      </c>
      <c r="AD23" s="31">
        <f t="shared" si="23"/>
        <v>0.60649524737264071</v>
      </c>
      <c r="AE23" s="31">
        <f t="shared" si="24"/>
        <v>-4.4279470516505484</v>
      </c>
      <c r="AF23" s="31">
        <f t="shared" si="25"/>
        <v>0.25200660694605431</v>
      </c>
      <c r="AG23" s="37">
        <f t="shared" si="26"/>
        <v>12668.341409904288</v>
      </c>
      <c r="AH23" s="31">
        <f t="shared" si="27"/>
        <v>3.9422191079221633</v>
      </c>
      <c r="AI23" s="31">
        <f t="shared" si="28"/>
        <v>-1.2319434712256758E-3</v>
      </c>
      <c r="AJ23" s="31">
        <f t="shared" si="29"/>
        <v>-0.60649524737264071</v>
      </c>
      <c r="AK23" s="31">
        <f t="shared" si="30"/>
        <v>4.8402486320049567</v>
      </c>
      <c r="AL23" s="31">
        <f t="shared" si="31"/>
        <v>-1.2166865866214323</v>
      </c>
      <c r="AM23" s="37">
        <f t="shared" si="32"/>
        <v>13026.353397730303</v>
      </c>
      <c r="AN23" s="31">
        <f t="shared" si="33"/>
        <v>5</v>
      </c>
      <c r="AO23" s="31">
        <f t="shared" si="33"/>
        <v>0</v>
      </c>
      <c r="AP23" s="31">
        <f t="shared" si="33"/>
        <v>0</v>
      </c>
      <c r="AQ23" s="31">
        <f t="shared" si="33"/>
        <v>0.41230158035440834</v>
      </c>
      <c r="AR23" s="31">
        <f t="shared" si="33"/>
        <v>-0.964679979675378</v>
      </c>
      <c r="AS23" s="38">
        <f t="shared" si="34"/>
        <v>-2.6991489178960326E-2</v>
      </c>
      <c r="AT23" s="35">
        <f t="shared" si="35"/>
        <v>358.01198782601574</v>
      </c>
      <c r="AU23" s="30">
        <v>1600</v>
      </c>
      <c r="AV23" s="37">
        <v>419.86413111481545</v>
      </c>
      <c r="AW23" s="31">
        <v>1.0696087232996372</v>
      </c>
      <c r="AX23" s="31">
        <v>1.2282472739688632E-3</v>
      </c>
      <c r="AY23" s="31">
        <v>0.90701337154623773</v>
      </c>
      <c r="AZ23" s="31">
        <v>-9.797527243329494</v>
      </c>
      <c r="BA23" s="31">
        <v>0.24836727426242333</v>
      </c>
      <c r="BB23" s="37">
        <v>12668.341409904288</v>
      </c>
      <c r="BC23" s="31">
        <v>3.9303912767003628</v>
      </c>
      <c r="BD23" s="31">
        <v>-1.2282472739688632E-3</v>
      </c>
      <c r="BE23" s="31">
        <v>-0.90701337154623773</v>
      </c>
      <c r="BF23" s="31">
        <v>10.209828823683901</v>
      </c>
      <c r="BG23" s="31">
        <v>-1.2130472539378012</v>
      </c>
      <c r="BH23" s="37">
        <v>13034.280148487309</v>
      </c>
      <c r="BI23" s="31">
        <v>5</v>
      </c>
      <c r="BJ23" s="31">
        <v>0</v>
      </c>
      <c r="BK23" s="31">
        <v>0</v>
      </c>
      <c r="BL23" s="31">
        <v>0.41230158035440745</v>
      </c>
      <c r="BM23" s="31">
        <v>-0.96467997967537789</v>
      </c>
      <c r="BN23" s="38">
        <v>-2.6991489178960326E-2</v>
      </c>
      <c r="BO23" s="35">
        <v>365.9387385830226</v>
      </c>
      <c r="BP23" s="30">
        <v>1600</v>
      </c>
      <c r="BQ23" s="37">
        <v>472.6621131452635</v>
      </c>
      <c r="BR23" s="31">
        <v>1.0861080926841518</v>
      </c>
      <c r="BS23" s="31">
        <v>1.2230912210362023E-3</v>
      </c>
      <c r="BT23" s="31">
        <v>1.2042744330202613</v>
      </c>
      <c r="BU23" s="31">
        <v>-17.260768155506408</v>
      </c>
      <c r="BV23" s="31">
        <v>0.24329054522103419</v>
      </c>
      <c r="BW23" s="37">
        <v>12668.341409904288</v>
      </c>
      <c r="BX23" s="31">
        <v>3.9138919073158482</v>
      </c>
      <c r="BY23" s="31">
        <v>-1.2230912210362023E-3</v>
      </c>
      <c r="BZ23" s="31">
        <v>-1.2042744330202613</v>
      </c>
      <c r="CA23" s="31">
        <v>17.673069735860814</v>
      </c>
      <c r="CB23" s="31">
        <v>-1.2079705248964121</v>
      </c>
      <c r="CC23" s="37">
        <v>13045.337660748544</v>
      </c>
      <c r="CD23" s="31">
        <v>5</v>
      </c>
      <c r="CE23" s="31">
        <v>0</v>
      </c>
      <c r="CF23" s="31">
        <v>0</v>
      </c>
      <c r="CG23" s="31">
        <v>0.41230158035440567</v>
      </c>
      <c r="CH23" s="31">
        <v>-0.96467997967537789</v>
      </c>
      <c r="CI23" s="38">
        <v>-2.6991489178960326E-2</v>
      </c>
      <c r="CJ23" s="35">
        <v>376.99625084425702</v>
      </c>
    </row>
    <row r="24" spans="1:88">
      <c r="A24" s="30">
        <f t="shared" si="40"/>
        <v>1800</v>
      </c>
      <c r="B24" s="30">
        <f t="shared" si="0"/>
        <v>592.63590921297066</v>
      </c>
      <c r="C24" s="31">
        <f t="shared" si="1"/>
        <v>1.2765332479602756</v>
      </c>
      <c r="D24" s="31">
        <f t="shared" si="2"/>
        <v>1.0342963200110338E-3</v>
      </c>
      <c r="E24" s="31">
        <f t="shared" si="3"/>
        <v>0.32222308431113006</v>
      </c>
      <c r="F24" s="31">
        <f t="shared" si="4"/>
        <v>-1.2877910348436572</v>
      </c>
      <c r="G24" s="32">
        <f t="shared" si="5"/>
        <v>0.32790844944529324</v>
      </c>
      <c r="H24" s="30">
        <f t="shared" si="6"/>
        <v>13435.638634229508</v>
      </c>
      <c r="I24" s="31">
        <f t="shared" si="7"/>
        <v>3.7234667520397249</v>
      </c>
      <c r="J24" s="31">
        <f t="shared" si="8"/>
        <v>-1.0342963200110338E-3</v>
      </c>
      <c r="K24" s="31">
        <f t="shared" si="9"/>
        <v>-0.32222308431113006</v>
      </c>
      <c r="L24" s="31">
        <f t="shared" si="10"/>
        <v>1.7000926151980653</v>
      </c>
      <c r="M24" s="32">
        <f t="shared" si="11"/>
        <v>-1.2925884291206711</v>
      </c>
      <c r="N24" s="30">
        <f t="shared" si="12"/>
        <v>14022.268050311914</v>
      </c>
      <c r="O24" s="33">
        <f t="shared" si="13"/>
        <v>5</v>
      </c>
      <c r="P24" s="31">
        <f t="shared" si="13"/>
        <v>0</v>
      </c>
      <c r="Q24" s="31">
        <f t="shared" si="13"/>
        <v>0</v>
      </c>
      <c r="R24" s="31">
        <f t="shared" si="13"/>
        <v>0.41230158035440811</v>
      </c>
      <c r="S24" s="32">
        <f t="shared" si="13"/>
        <v>-0.96467997967537777</v>
      </c>
      <c r="T24" s="34">
        <f t="shared" si="14"/>
        <v>-4.1685152500090084E-2</v>
      </c>
      <c r="U24" s="35">
        <f t="shared" si="15"/>
        <v>586.62941608240476</v>
      </c>
      <c r="V24" s="36">
        <f t="shared" si="16"/>
        <v>1.3416407864998738</v>
      </c>
      <c r="W24" s="14">
        <f t="shared" si="17"/>
        <v>0.99911097234254143</v>
      </c>
      <c r="X24" s="15">
        <f t="shared" si="18"/>
        <v>9.9942324331119603E-2</v>
      </c>
      <c r="Y24" s="35">
        <f t="shared" si="19"/>
        <v>14403.903550654204</v>
      </c>
      <c r="Z24" s="30">
        <f t="shared" si="41"/>
        <v>1800</v>
      </c>
      <c r="AA24" s="37">
        <f t="shared" si="20"/>
        <v>616.78086870824882</v>
      </c>
      <c r="AB24" s="31">
        <f t="shared" si="21"/>
        <v>1.283240181153408</v>
      </c>
      <c r="AC24" s="31">
        <f t="shared" si="22"/>
        <v>1.0324332830129413E-3</v>
      </c>
      <c r="AD24" s="31">
        <f t="shared" si="23"/>
        <v>0.64328535326191028</v>
      </c>
      <c r="AE24" s="31">
        <f t="shared" si="24"/>
        <v>-4.7214615402794617</v>
      </c>
      <c r="AF24" s="31">
        <f t="shared" si="25"/>
        <v>0.32558681872459361</v>
      </c>
      <c r="AG24" s="37">
        <f t="shared" si="26"/>
        <v>13435.638634229508</v>
      </c>
      <c r="AH24" s="31">
        <f t="shared" si="27"/>
        <v>3.716759818846592</v>
      </c>
      <c r="AI24" s="31">
        <f t="shared" si="28"/>
        <v>-1.0324332830129413E-3</v>
      </c>
      <c r="AJ24" s="31">
        <f t="shared" si="29"/>
        <v>-0.64328535326191028</v>
      </c>
      <c r="AK24" s="31">
        <f t="shared" si="30"/>
        <v>5.1337631206338692</v>
      </c>
      <c r="AL24" s="31">
        <f t="shared" si="31"/>
        <v>-1.2902667983999712</v>
      </c>
      <c r="AM24" s="37">
        <f t="shared" si="32"/>
        <v>14028.416419558718</v>
      </c>
      <c r="AN24" s="31">
        <f t="shared" si="33"/>
        <v>5</v>
      </c>
      <c r="AO24" s="31">
        <f t="shared" si="33"/>
        <v>0</v>
      </c>
      <c r="AP24" s="31">
        <f t="shared" si="33"/>
        <v>0</v>
      </c>
      <c r="AQ24" s="31">
        <f t="shared" si="33"/>
        <v>0.41230158035440745</v>
      </c>
      <c r="AR24" s="31">
        <f t="shared" si="33"/>
        <v>-0.96467997967537755</v>
      </c>
      <c r="AS24" s="38">
        <f t="shared" si="34"/>
        <v>-4.1685152500090084E-2</v>
      </c>
      <c r="AT24" s="35">
        <f t="shared" si="35"/>
        <v>592.77778532920934</v>
      </c>
      <c r="AU24" s="30">
        <v>1800</v>
      </c>
      <c r="AV24" s="37">
        <v>656.92585909384206</v>
      </c>
      <c r="AW24" s="31">
        <v>1.2943915673716282</v>
      </c>
      <c r="AX24" s="31">
        <v>1.0293356757301024E-3</v>
      </c>
      <c r="AY24" s="31">
        <v>0.96203295847082726</v>
      </c>
      <c r="AZ24" s="31">
        <v>-10.416761388771176</v>
      </c>
      <c r="BA24" s="31">
        <v>0.32172672349520964</v>
      </c>
      <c r="BB24" s="37">
        <v>13435.638634229508</v>
      </c>
      <c r="BC24" s="31">
        <v>3.705608432628372</v>
      </c>
      <c r="BD24" s="31">
        <v>-1.0293356757301024E-3</v>
      </c>
      <c r="BE24" s="31">
        <v>-0.96203295847082726</v>
      </c>
      <c r="BF24" s="31">
        <v>10.829062969125584</v>
      </c>
      <c r="BG24" s="31">
        <v>-1.2864067031705875</v>
      </c>
      <c r="BH24" s="37">
        <v>14038.639100791557</v>
      </c>
      <c r="BI24" s="31">
        <v>5</v>
      </c>
      <c r="BJ24" s="31">
        <v>0</v>
      </c>
      <c r="BK24" s="31">
        <v>0</v>
      </c>
      <c r="BL24" s="31">
        <v>0.41230158035440745</v>
      </c>
      <c r="BM24" s="31">
        <v>-0.96467997967537777</v>
      </c>
      <c r="BN24" s="38">
        <v>-4.1685152500090084E-2</v>
      </c>
      <c r="BO24" s="35">
        <v>603.00046656204927</v>
      </c>
      <c r="BP24" s="30">
        <v>1800</v>
      </c>
      <c r="BQ24" s="37">
        <v>712.92657578388321</v>
      </c>
      <c r="BR24" s="31">
        <v>1.3099473220077511</v>
      </c>
      <c r="BS24" s="31">
        <v>1.0250146327756239E-3</v>
      </c>
      <c r="BT24" s="31">
        <v>1.2773259269973172</v>
      </c>
      <c r="BU24" s="31">
        <v>-18.332723776714936</v>
      </c>
      <c r="BV24" s="31">
        <v>0.31634203919809023</v>
      </c>
      <c r="BW24" s="37">
        <v>13435.638634229508</v>
      </c>
      <c r="BX24" s="31">
        <v>3.6900526779922491</v>
      </c>
      <c r="BY24" s="31">
        <v>-1.0250146327756239E-3</v>
      </c>
      <c r="BZ24" s="31">
        <v>-1.2773259269973172</v>
      </c>
      <c r="CA24" s="31">
        <v>18.745025357069341</v>
      </c>
      <c r="CB24" s="31">
        <v>-1.281022018873468</v>
      </c>
      <c r="CC24" s="37">
        <v>14052.899347712386</v>
      </c>
      <c r="CD24" s="31">
        <v>5</v>
      </c>
      <c r="CE24" s="31">
        <v>0</v>
      </c>
      <c r="CF24" s="31">
        <v>0</v>
      </c>
      <c r="CG24" s="31">
        <v>0.41230158035440567</v>
      </c>
      <c r="CH24" s="31">
        <v>-0.96467997967537777</v>
      </c>
      <c r="CI24" s="38">
        <v>-4.1685152500090084E-2</v>
      </c>
      <c r="CJ24" s="35">
        <v>617.26071348287678</v>
      </c>
    </row>
    <row r="25" spans="1:88">
      <c r="A25" s="30">
        <f t="shared" si="40"/>
        <v>2000</v>
      </c>
      <c r="B25" s="30">
        <f t="shared" si="0"/>
        <v>867.55334253005628</v>
      </c>
      <c r="C25" s="31">
        <f t="shared" si="1"/>
        <v>1.4676092814935193</v>
      </c>
      <c r="D25" s="31">
        <f t="shared" si="2"/>
        <v>8.8309767962662104E-4</v>
      </c>
      <c r="E25" s="31">
        <f t="shared" si="3"/>
        <v>0.33965295370254622</v>
      </c>
      <c r="F25" s="31">
        <f t="shared" si="4"/>
        <v>-1.379667935416492</v>
      </c>
      <c r="G25" s="32">
        <f t="shared" si="5"/>
        <v>0.39762792701095789</v>
      </c>
      <c r="H25" s="30">
        <f t="shared" si="6"/>
        <v>14161.366392961721</v>
      </c>
      <c r="I25" s="31">
        <f t="shared" si="7"/>
        <v>3.5323907185064805</v>
      </c>
      <c r="J25" s="31">
        <f t="shared" si="8"/>
        <v>-8.8309767962662104E-4</v>
      </c>
      <c r="K25" s="31">
        <f t="shared" si="9"/>
        <v>-0.33965295370254622</v>
      </c>
      <c r="L25" s="31">
        <f t="shared" si="10"/>
        <v>1.7919695157709004</v>
      </c>
      <c r="M25" s="32">
        <f t="shared" si="11"/>
        <v>-1.3623079066863359</v>
      </c>
      <c r="N25" s="30">
        <f t="shared" si="12"/>
        <v>15022.913242361212</v>
      </c>
      <c r="O25" s="33">
        <f t="shared" si="13"/>
        <v>5</v>
      </c>
      <c r="P25" s="31">
        <f t="shared" si="13"/>
        <v>0</v>
      </c>
      <c r="Q25" s="31">
        <f t="shared" si="13"/>
        <v>0</v>
      </c>
      <c r="R25" s="31">
        <f t="shared" si="13"/>
        <v>0.41230158035440834</v>
      </c>
      <c r="S25" s="32">
        <f t="shared" si="13"/>
        <v>-0.964679979675378</v>
      </c>
      <c r="T25" s="34">
        <f t="shared" si="14"/>
        <v>-5.7190958417936533E-2</v>
      </c>
      <c r="U25" s="35">
        <f t="shared" si="15"/>
        <v>861.54684939949038</v>
      </c>
      <c r="V25" s="36">
        <f t="shared" si="16"/>
        <v>1.4142135623730951</v>
      </c>
      <c r="W25" s="14">
        <f t="shared" si="17"/>
        <v>0.99911097234254143</v>
      </c>
      <c r="X25" s="15">
        <f t="shared" si="18"/>
        <v>9.9942324331119603E-2</v>
      </c>
      <c r="Y25" s="35">
        <f t="shared" si="19"/>
        <v>15128.986117337119</v>
      </c>
      <c r="Z25" s="30">
        <f t="shared" si="41"/>
        <v>2000</v>
      </c>
      <c r="AA25" s="37">
        <f t="shared" si="20"/>
        <v>893.00436453591874</v>
      </c>
      <c r="AB25" s="31">
        <f t="shared" si="21"/>
        <v>1.4739720369949847</v>
      </c>
      <c r="AC25" s="31">
        <f t="shared" si="22"/>
        <v>8.8150699075125469E-4</v>
      </c>
      <c r="AD25" s="31">
        <f t="shared" si="23"/>
        <v>0.67808230057788765</v>
      </c>
      <c r="AE25" s="31">
        <f t="shared" si="24"/>
        <v>-4.999074445989395</v>
      </c>
      <c r="AF25" s="31">
        <f t="shared" si="25"/>
        <v>0.39518071335654825</v>
      </c>
      <c r="AG25" s="37">
        <f t="shared" si="26"/>
        <v>14161.366392961721</v>
      </c>
      <c r="AH25" s="31">
        <f t="shared" si="27"/>
        <v>3.5260279630050149</v>
      </c>
      <c r="AI25" s="31">
        <f t="shared" si="28"/>
        <v>-8.8150699075125469E-4</v>
      </c>
      <c r="AJ25" s="31">
        <f t="shared" si="29"/>
        <v>-0.67808230057788765</v>
      </c>
      <c r="AK25" s="31">
        <f t="shared" si="30"/>
        <v>5.4113760263438033</v>
      </c>
      <c r="AL25" s="31">
        <f t="shared" si="31"/>
        <v>-1.3598606930319261</v>
      </c>
      <c r="AM25" s="37">
        <f t="shared" si="32"/>
        <v>15030.367674118601</v>
      </c>
      <c r="AN25" s="31">
        <f t="shared" si="33"/>
        <v>5</v>
      </c>
      <c r="AO25" s="31">
        <f t="shared" si="33"/>
        <v>0</v>
      </c>
      <c r="AP25" s="31">
        <f t="shared" si="33"/>
        <v>0</v>
      </c>
      <c r="AQ25" s="31">
        <f t="shared" si="33"/>
        <v>0.41230158035440834</v>
      </c>
      <c r="AR25" s="31">
        <f t="shared" si="33"/>
        <v>-0.96467997967537789</v>
      </c>
      <c r="AS25" s="38">
        <f t="shared" si="34"/>
        <v>-5.7190958417936533E-2</v>
      </c>
      <c r="AT25" s="35">
        <f t="shared" si="35"/>
        <v>869.00128115687926</v>
      </c>
      <c r="AU25" s="30">
        <v>2000</v>
      </c>
      <c r="AV25" s="37">
        <v>935.3208999572638</v>
      </c>
      <c r="AW25" s="31">
        <v>1.4845511708503212</v>
      </c>
      <c r="AX25" s="31">
        <v>8.7886220728742063E-4</v>
      </c>
      <c r="AY25" s="31">
        <v>1.0140717776393307</v>
      </c>
      <c r="AZ25" s="31">
        <v>-11.002447605604631</v>
      </c>
      <c r="BA25" s="31">
        <v>0.39111181571988041</v>
      </c>
      <c r="BB25" s="37">
        <v>14161.366392961721</v>
      </c>
      <c r="BC25" s="31">
        <v>3.5154488291496788</v>
      </c>
      <c r="BD25" s="31">
        <v>-8.7886220728742063E-4</v>
      </c>
      <c r="BE25" s="31">
        <v>-1.0140717776393307</v>
      </c>
      <c r="BF25" s="31">
        <v>11.414749185959039</v>
      </c>
      <c r="BG25" s="31">
        <v>-1.3557917953952585</v>
      </c>
      <c r="BH25" s="37">
        <v>15042.761900387191</v>
      </c>
      <c r="BI25" s="31">
        <v>5</v>
      </c>
      <c r="BJ25" s="31">
        <v>0</v>
      </c>
      <c r="BK25" s="31">
        <v>0</v>
      </c>
      <c r="BL25" s="31">
        <v>0.41230158035440745</v>
      </c>
      <c r="BM25" s="31">
        <v>-0.96467997967537811</v>
      </c>
      <c r="BN25" s="38">
        <v>-5.7190958417936533E-2</v>
      </c>
      <c r="BO25" s="35">
        <v>881.3955074254709</v>
      </c>
      <c r="BP25" s="30">
        <v>2000</v>
      </c>
      <c r="BQ25" s="37">
        <v>994.35083840470952</v>
      </c>
      <c r="BR25" s="31">
        <v>1.4993086554621824</v>
      </c>
      <c r="BS25" s="31">
        <v>8.7517283613445531E-4</v>
      </c>
      <c r="BT25" s="31">
        <v>1.3464197478991609</v>
      </c>
      <c r="BU25" s="31">
        <v>-19.346604611647194</v>
      </c>
      <c r="BV25" s="31">
        <v>0.38543586009993375</v>
      </c>
      <c r="BW25" s="37">
        <v>14161.366392961721</v>
      </c>
      <c r="BX25" s="31">
        <v>3.5006913445378172</v>
      </c>
      <c r="BY25" s="31">
        <v>-8.7517283613445531E-4</v>
      </c>
      <c r="BZ25" s="31">
        <v>-1.3464197478991609</v>
      </c>
      <c r="CA25" s="31">
        <v>19.7589061920016</v>
      </c>
      <c r="CB25" s="31">
        <v>-1.3501158397753117</v>
      </c>
      <c r="CC25" s="37">
        <v>15060.051369065424</v>
      </c>
      <c r="CD25" s="31">
        <v>5</v>
      </c>
      <c r="CE25" s="31">
        <v>0</v>
      </c>
      <c r="CF25" s="31">
        <v>0</v>
      </c>
      <c r="CG25" s="31">
        <v>0.41230158035440567</v>
      </c>
      <c r="CH25" s="31">
        <v>-0.964679979675378</v>
      </c>
      <c r="CI25" s="38">
        <v>-5.7190958417936533E-2</v>
      </c>
      <c r="CJ25" s="35">
        <v>898.68497610370309</v>
      </c>
    </row>
    <row r="26" spans="1:88">
      <c r="A26" s="30">
        <f t="shared" si="40"/>
        <v>2200</v>
      </c>
      <c r="B26" s="30">
        <f t="shared" si="0"/>
        <v>1177.9056535011168</v>
      </c>
      <c r="C26" s="31">
        <f t="shared" si="1"/>
        <v>1.6319975993057125</v>
      </c>
      <c r="D26" s="31">
        <f t="shared" si="2"/>
        <v>7.6545509106688348E-4</v>
      </c>
      <c r="E26" s="31">
        <f t="shared" si="3"/>
        <v>0.35623102315035737</v>
      </c>
      <c r="F26" s="31">
        <f t="shared" si="4"/>
        <v>-1.4670548001222141</v>
      </c>
      <c r="G26" s="32">
        <f t="shared" si="5"/>
        <v>0.46394020480220249</v>
      </c>
      <c r="H26" s="30">
        <f t="shared" si="6"/>
        <v>14851.627743422096</v>
      </c>
      <c r="I26" s="31">
        <f t="shared" si="7"/>
        <v>3.3680024006942872</v>
      </c>
      <c r="J26" s="31">
        <f t="shared" si="8"/>
        <v>-7.6545509106688348E-4</v>
      </c>
      <c r="K26" s="31">
        <f t="shared" si="9"/>
        <v>-0.35623102315035737</v>
      </c>
      <c r="L26" s="31">
        <f t="shared" si="10"/>
        <v>1.8793563804766225</v>
      </c>
      <c r="M26" s="32">
        <f t="shared" si="11"/>
        <v>-1.4286201844775803</v>
      </c>
      <c r="N26" s="30">
        <f t="shared" si="12"/>
        <v>16023.526903792646</v>
      </c>
      <c r="O26" s="33">
        <f t="shared" si="13"/>
        <v>5</v>
      </c>
      <c r="P26" s="31">
        <f t="shared" si="13"/>
        <v>0</v>
      </c>
      <c r="Q26" s="31">
        <f t="shared" si="13"/>
        <v>0</v>
      </c>
      <c r="R26" s="31">
        <f t="shared" si="13"/>
        <v>0.41230158035440834</v>
      </c>
      <c r="S26" s="32">
        <f t="shared" si="13"/>
        <v>-0.96467997967537777</v>
      </c>
      <c r="T26" s="34">
        <f t="shared" si="14"/>
        <v>-7.2975189113042127E-2</v>
      </c>
      <c r="U26" s="35">
        <f t="shared" si="15"/>
        <v>1171.899160370551</v>
      </c>
      <c r="V26" s="36">
        <f t="shared" si="16"/>
        <v>1.4832396974191326</v>
      </c>
      <c r="W26" s="14">
        <f t="shared" si="17"/>
        <v>0.99911097234254143</v>
      </c>
      <c r="X26" s="15">
        <f t="shared" si="18"/>
        <v>9.9942324331119603E-2</v>
      </c>
      <c r="Y26" s="35">
        <f t="shared" si="19"/>
        <v>15818.633806366061</v>
      </c>
      <c r="Z26" s="30">
        <f t="shared" si="41"/>
        <v>2200</v>
      </c>
      <c r="AA26" s="37">
        <f t="shared" si="20"/>
        <v>1204.5989105758381</v>
      </c>
      <c r="AB26" s="31">
        <f t="shared" si="21"/>
        <v>1.6380642486408765</v>
      </c>
      <c r="AC26" s="31">
        <f t="shared" si="22"/>
        <v>7.6407630712707348E-4</v>
      </c>
      <c r="AD26" s="31">
        <f t="shared" si="23"/>
        <v>0.71117871663366072</v>
      </c>
      <c r="AE26" s="31">
        <f t="shared" si="24"/>
        <v>-5.2631203735357284</v>
      </c>
      <c r="AF26" s="31">
        <f t="shared" si="25"/>
        <v>0.4613735454680945</v>
      </c>
      <c r="AG26" s="37">
        <f t="shared" si="26"/>
        <v>14851.627743422096</v>
      </c>
      <c r="AH26" s="31">
        <f t="shared" si="27"/>
        <v>3.3619357513591233</v>
      </c>
      <c r="AI26" s="31">
        <f t="shared" si="28"/>
        <v>-7.6407630712707348E-4</v>
      </c>
      <c r="AJ26" s="31">
        <f t="shared" si="29"/>
        <v>-0.71117871663366072</v>
      </c>
      <c r="AK26" s="31">
        <f t="shared" si="30"/>
        <v>5.6754219538901367</v>
      </c>
      <c r="AL26" s="31">
        <f t="shared" si="31"/>
        <v>-1.4260535251434723</v>
      </c>
      <c r="AM26" s="37">
        <f t="shared" si="32"/>
        <v>16032.223570618895</v>
      </c>
      <c r="AN26" s="31">
        <f t="shared" si="33"/>
        <v>5</v>
      </c>
      <c r="AO26" s="31">
        <f t="shared" si="33"/>
        <v>0</v>
      </c>
      <c r="AP26" s="31">
        <f t="shared" si="33"/>
        <v>0</v>
      </c>
      <c r="AQ26" s="31">
        <f t="shared" si="33"/>
        <v>0.41230158035440834</v>
      </c>
      <c r="AR26" s="31">
        <f t="shared" si="33"/>
        <v>-0.96467997967537777</v>
      </c>
      <c r="AS26" s="38">
        <f t="shared" si="34"/>
        <v>-7.2975189113042127E-2</v>
      </c>
      <c r="AT26" s="35">
        <f t="shared" si="35"/>
        <v>1180.5958271967986</v>
      </c>
      <c r="AU26" s="30">
        <v>2200</v>
      </c>
      <c r="AV26" s="37">
        <v>1248.9808673496493</v>
      </c>
      <c r="AW26" s="31">
        <v>1.6481510569985611</v>
      </c>
      <c r="AX26" s="31">
        <v>7.617838506821452E-4</v>
      </c>
      <c r="AY26" s="31">
        <v>1.0635674530677641</v>
      </c>
      <c r="AZ26" s="31">
        <v>-11.559511262207387</v>
      </c>
      <c r="BA26" s="31">
        <v>0.45710604962445883</v>
      </c>
      <c r="BB26" s="37">
        <v>14851.627743422096</v>
      </c>
      <c r="BC26" s="31">
        <v>3.3518489430014387</v>
      </c>
      <c r="BD26" s="31">
        <v>-7.617838506821452E-4</v>
      </c>
      <c r="BE26" s="31">
        <v>-1.0635674530677641</v>
      </c>
      <c r="BF26" s="31">
        <v>11.971812842561796</v>
      </c>
      <c r="BG26" s="31">
        <v>-1.4217860292998368</v>
      </c>
      <c r="BH26" s="37">
        <v>16046.683218239952</v>
      </c>
      <c r="BI26" s="31">
        <v>5</v>
      </c>
      <c r="BJ26" s="31">
        <v>0</v>
      </c>
      <c r="BK26" s="31">
        <v>0</v>
      </c>
      <c r="BL26" s="31">
        <v>0.41230158035440923</v>
      </c>
      <c r="BM26" s="31">
        <v>-0.964679979675378</v>
      </c>
      <c r="BN26" s="38">
        <v>-7.2975189113042127E-2</v>
      </c>
      <c r="BO26" s="35">
        <v>1195.0554748178565</v>
      </c>
      <c r="BP26" s="30">
        <v>2200</v>
      </c>
      <c r="BQ26" s="37">
        <v>1310.8919891002713</v>
      </c>
      <c r="BR26" s="31">
        <v>1.6622217664873389</v>
      </c>
      <c r="BS26" s="31">
        <v>7.5858596216196847E-4</v>
      </c>
      <c r="BT26" s="31">
        <v>1.4121369449476646</v>
      </c>
      <c r="BU26" s="31">
        <v>-20.310936960665789</v>
      </c>
      <c r="BV26" s="31">
        <v>0.45115305714843756</v>
      </c>
      <c r="BW26" s="37">
        <v>14851.627743422096</v>
      </c>
      <c r="BX26" s="31">
        <v>3.3377782335126609</v>
      </c>
      <c r="BY26" s="31">
        <v>-7.5858596216196847E-4</v>
      </c>
      <c r="BZ26" s="31">
        <v>-1.4121369449476646</v>
      </c>
      <c r="CA26" s="31">
        <v>20.723238541020194</v>
      </c>
      <c r="CB26" s="31">
        <v>-1.4158330368238154</v>
      </c>
      <c r="CC26" s="37">
        <v>16066.853870221361</v>
      </c>
      <c r="CD26" s="31">
        <v>5</v>
      </c>
      <c r="CE26" s="31">
        <v>0</v>
      </c>
      <c r="CF26" s="31">
        <v>0</v>
      </c>
      <c r="CG26" s="31">
        <v>0.41230158035440567</v>
      </c>
      <c r="CH26" s="31">
        <v>-0.96467997967537789</v>
      </c>
      <c r="CI26" s="38">
        <v>-7.2975189113042127E-2</v>
      </c>
      <c r="CJ26" s="35">
        <v>1215.2261267992649</v>
      </c>
    </row>
    <row r="27" spans="1:88">
      <c r="A27" s="30">
        <f t="shared" si="40"/>
        <v>2400</v>
      </c>
      <c r="B27" s="30">
        <f t="shared" si="0"/>
        <v>1518.9555889729299</v>
      </c>
      <c r="C27" s="31">
        <f t="shared" si="1"/>
        <v>1.7753832025868652</v>
      </c>
      <c r="D27" s="31">
        <f t="shared" si="2"/>
        <v>6.7179516612773569E-4</v>
      </c>
      <c r="E27" s="31">
        <f t="shared" si="3"/>
        <v>0.37207116893228487</v>
      </c>
      <c r="F27" s="31">
        <f t="shared" si="4"/>
        <v>-1.550551897339826</v>
      </c>
      <c r="G27" s="32">
        <f t="shared" si="5"/>
        <v>0.52730078792991253</v>
      </c>
      <c r="H27" s="30">
        <f t="shared" si="6"/>
        <v>15511.164154060438</v>
      </c>
      <c r="I27" s="31">
        <f t="shared" si="7"/>
        <v>3.2246167974131348</v>
      </c>
      <c r="J27" s="31">
        <f t="shared" si="8"/>
        <v>-6.7179516612773569E-4</v>
      </c>
      <c r="K27" s="31">
        <f t="shared" si="9"/>
        <v>-0.37207116893228487</v>
      </c>
      <c r="L27" s="31">
        <f t="shared" si="10"/>
        <v>1.9628534776942341</v>
      </c>
      <c r="M27" s="32">
        <f t="shared" si="11"/>
        <v>-1.4919807676052901</v>
      </c>
      <c r="N27" s="30">
        <f t="shared" si="12"/>
        <v>17024.113249902803</v>
      </c>
      <c r="O27" s="33">
        <f t="shared" si="13"/>
        <v>5</v>
      </c>
      <c r="P27" s="31">
        <f t="shared" si="13"/>
        <v>0</v>
      </c>
      <c r="Q27" s="31">
        <f t="shared" si="13"/>
        <v>0</v>
      </c>
      <c r="R27" s="31">
        <f t="shared" si="13"/>
        <v>0.41230158035440811</v>
      </c>
      <c r="S27" s="32">
        <f t="shared" si="13"/>
        <v>-0.96467997967537755</v>
      </c>
      <c r="T27" s="34">
        <f t="shared" si="14"/>
        <v>-8.870980089237257E-2</v>
      </c>
      <c r="U27" s="35">
        <f t="shared" si="15"/>
        <v>1512.9490958423642</v>
      </c>
      <c r="V27" s="36">
        <f t="shared" si="16"/>
        <v>1.5491933384829668</v>
      </c>
      <c r="W27" s="14">
        <f t="shared" si="17"/>
        <v>0.99911097234254143</v>
      </c>
      <c r="X27" s="15">
        <f t="shared" si="18"/>
        <v>9.9942324331119603E-2</v>
      </c>
      <c r="Y27" s="35">
        <f t="shared" si="19"/>
        <v>16477.583870894247</v>
      </c>
      <c r="Z27" s="30">
        <f t="shared" si="41"/>
        <v>2400</v>
      </c>
      <c r="AA27" s="37">
        <f t="shared" si="20"/>
        <v>1546.8357867012728</v>
      </c>
      <c r="AB27" s="31">
        <f t="shared" si="21"/>
        <v>1.7811915771136033</v>
      </c>
      <c r="AC27" s="31">
        <f t="shared" si="22"/>
        <v>6.7058508810133191E-4</v>
      </c>
      <c r="AD27" s="31">
        <f t="shared" si="23"/>
        <v>0.74280194374301478</v>
      </c>
      <c r="AE27" s="31">
        <f t="shared" si="24"/>
        <v>-5.5154130785835056</v>
      </c>
      <c r="AF27" s="31">
        <f t="shared" si="25"/>
        <v>0.52461999968680251</v>
      </c>
      <c r="AG27" s="37">
        <f t="shared" si="26"/>
        <v>15511.164154060438</v>
      </c>
      <c r="AH27" s="31">
        <f t="shared" si="27"/>
        <v>3.2188084228863967</v>
      </c>
      <c r="AI27" s="31">
        <f t="shared" si="28"/>
        <v>-6.7058508810133191E-4</v>
      </c>
      <c r="AJ27" s="31">
        <f t="shared" si="29"/>
        <v>-0.74280194374301478</v>
      </c>
      <c r="AK27" s="31">
        <f t="shared" si="30"/>
        <v>5.9277146589379139</v>
      </c>
      <c r="AL27" s="31">
        <f t="shared" si="31"/>
        <v>-1.4892999793621804</v>
      </c>
      <c r="AM27" s="37">
        <f t="shared" si="32"/>
        <v>17033.99685738267</v>
      </c>
      <c r="AN27" s="31">
        <f t="shared" si="33"/>
        <v>5</v>
      </c>
      <c r="AO27" s="31">
        <f t="shared" si="33"/>
        <v>0</v>
      </c>
      <c r="AP27" s="31">
        <f t="shared" si="33"/>
        <v>0</v>
      </c>
      <c r="AQ27" s="31">
        <f t="shared" si="33"/>
        <v>0.41230158035440834</v>
      </c>
      <c r="AR27" s="31">
        <f t="shared" si="33"/>
        <v>-0.96467997967537789</v>
      </c>
      <c r="AS27" s="38">
        <f t="shared" si="34"/>
        <v>-8.870980089237257E-2</v>
      </c>
      <c r="AT27" s="35">
        <f t="shared" si="35"/>
        <v>1522.8327033222333</v>
      </c>
      <c r="AU27" s="30">
        <v>2400</v>
      </c>
      <c r="AV27" s="37">
        <v>1593.191228712747</v>
      </c>
      <c r="AW27" s="31">
        <v>1.7908489608659932</v>
      </c>
      <c r="AX27" s="31">
        <v>6.6857313315291729E-4</v>
      </c>
      <c r="AY27" s="31">
        <v>1.1108599750848485</v>
      </c>
      <c r="AZ27" s="31">
        <v>-12.09177887986816</v>
      </c>
      <c r="BA27" s="31">
        <v>0.52016274564723786</v>
      </c>
      <c r="BB27" s="37">
        <v>15511.164154060438</v>
      </c>
      <c r="BC27" s="31">
        <v>3.2091510391340066</v>
      </c>
      <c r="BD27" s="31">
        <v>-6.6857313315291729E-4</v>
      </c>
      <c r="BE27" s="31">
        <v>-1.1108599750848485</v>
      </c>
      <c r="BF27" s="31">
        <v>12.504080460222566</v>
      </c>
      <c r="BG27" s="31">
        <v>-1.4848427253226157</v>
      </c>
      <c r="BH27" s="37">
        <v>17050.429990241391</v>
      </c>
      <c r="BI27" s="31">
        <v>5</v>
      </c>
      <c r="BJ27" s="31">
        <v>0</v>
      </c>
      <c r="BK27" s="31">
        <v>0</v>
      </c>
      <c r="BL27" s="31">
        <v>0.41230158035440567</v>
      </c>
      <c r="BM27" s="31">
        <v>-0.96467997967537789</v>
      </c>
      <c r="BN27" s="38">
        <v>-8.870980089237257E-2</v>
      </c>
      <c r="BO27" s="35">
        <v>1539.2658361809542</v>
      </c>
      <c r="BP27" s="30">
        <v>2400</v>
      </c>
      <c r="BQ27" s="37">
        <v>1657.8552864243611</v>
      </c>
      <c r="BR27" s="31">
        <v>1.8043206395559133</v>
      </c>
      <c r="BS27" s="31">
        <v>6.6576653342585062E-4</v>
      </c>
      <c r="BT27" s="31">
        <v>1.4749289355895785</v>
      </c>
      <c r="BU27" s="31">
        <v>-21.232344911016725</v>
      </c>
      <c r="BV27" s="31">
        <v>0.51394504779035155</v>
      </c>
      <c r="BW27" s="37">
        <v>15511.164154060438</v>
      </c>
      <c r="BX27" s="31">
        <v>3.1956793604440867</v>
      </c>
      <c r="BY27" s="31">
        <v>-6.6576653342585062E-4</v>
      </c>
      <c r="BZ27" s="31">
        <v>-1.4749289355895785</v>
      </c>
      <c r="CA27" s="31">
        <v>21.64464649137113</v>
      </c>
      <c r="CB27" s="31">
        <v>-1.4786250274657293</v>
      </c>
      <c r="CC27" s="37">
        <v>17073.353578183793</v>
      </c>
      <c r="CD27" s="31">
        <v>5</v>
      </c>
      <c r="CE27" s="31">
        <v>0</v>
      </c>
      <c r="CF27" s="31">
        <v>0</v>
      </c>
      <c r="CG27" s="31">
        <v>0.41230158035440567</v>
      </c>
      <c r="CH27" s="31">
        <v>-0.96467997967537777</v>
      </c>
      <c r="CI27" s="38">
        <v>-8.870980089237257E-2</v>
      </c>
      <c r="CJ27" s="35">
        <v>1562.1894241233547</v>
      </c>
    </row>
    <row r="28" spans="1:88">
      <c r="A28" s="30">
        <f t="shared" si="40"/>
        <v>2600</v>
      </c>
      <c r="B28" s="30">
        <f t="shared" si="0"/>
        <v>1886.9358601984732</v>
      </c>
      <c r="C28" s="31">
        <f t="shared" si="1"/>
        <v>1.901888393008172</v>
      </c>
      <c r="D28" s="31">
        <f t="shared" si="2"/>
        <v>5.9579069365227452E-4</v>
      </c>
      <c r="E28" s="31">
        <f t="shared" si="3"/>
        <v>0.38726395087397852</v>
      </c>
      <c r="F28" s="31">
        <f t="shared" si="4"/>
        <v>-1.6306365889996033</v>
      </c>
      <c r="G28" s="32">
        <f t="shared" si="5"/>
        <v>0.58807191569668715</v>
      </c>
      <c r="H28" s="30">
        <f t="shared" si="6"/>
        <v>16143.746265827869</v>
      </c>
      <c r="I28" s="31">
        <f t="shared" si="7"/>
        <v>3.0981116069918282</v>
      </c>
      <c r="J28" s="31">
        <f t="shared" si="8"/>
        <v>-5.9579069365227452E-4</v>
      </c>
      <c r="K28" s="31">
        <f t="shared" si="9"/>
        <v>-0.38726395087397852</v>
      </c>
      <c r="L28" s="31">
        <f t="shared" si="10"/>
        <v>2.0429381693540116</v>
      </c>
      <c r="M28" s="32">
        <f t="shared" si="11"/>
        <v>-1.5527518953720649</v>
      </c>
      <c r="N28" s="30">
        <f t="shared" si="12"/>
        <v>18024.675632895778</v>
      </c>
      <c r="O28" s="33">
        <f t="shared" si="13"/>
        <v>5</v>
      </c>
      <c r="P28" s="31">
        <f t="shared" si="13"/>
        <v>0</v>
      </c>
      <c r="Q28" s="31">
        <f t="shared" si="13"/>
        <v>0</v>
      </c>
      <c r="R28" s="31">
        <f t="shared" si="13"/>
        <v>0.41230158035440834</v>
      </c>
      <c r="S28" s="32">
        <f t="shared" si="13"/>
        <v>-0.96467997967537777</v>
      </c>
      <c r="T28" s="34">
        <f t="shared" si="14"/>
        <v>-0.10419358352238339</v>
      </c>
      <c r="U28" s="35">
        <f t="shared" si="15"/>
        <v>1880.9293670679074</v>
      </c>
      <c r="V28" s="36">
        <f t="shared" si="16"/>
        <v>1.61245154965971</v>
      </c>
      <c r="W28" s="14">
        <f t="shared" si="17"/>
        <v>0.99911097234254143</v>
      </c>
      <c r="X28" s="15">
        <f t="shared" si="18"/>
        <v>9.9942324331119603E-2</v>
      </c>
      <c r="Y28" s="35">
        <f t="shared" si="19"/>
        <v>17109.603599668702</v>
      </c>
      <c r="Z28" s="30">
        <f t="shared" si="41"/>
        <v>2600</v>
      </c>
      <c r="AA28" s="37">
        <f t="shared" si="20"/>
        <v>1915.954490033216</v>
      </c>
      <c r="AB28" s="31">
        <f t="shared" si="21"/>
        <v>1.9074688987456221</v>
      </c>
      <c r="AC28" s="31">
        <f t="shared" si="22"/>
        <v>5.9471751947199562E-4</v>
      </c>
      <c r="AD28" s="31">
        <f t="shared" si="23"/>
        <v>0.77313277531359459</v>
      </c>
      <c r="AE28" s="31">
        <f t="shared" si="24"/>
        <v>-5.7573949457986515</v>
      </c>
      <c r="AF28" s="31">
        <f t="shared" si="25"/>
        <v>0.58528166282796223</v>
      </c>
      <c r="AG28" s="37">
        <f t="shared" si="26"/>
        <v>16143.746265827869</v>
      </c>
      <c r="AH28" s="31">
        <f t="shared" si="27"/>
        <v>3.0925311012543775</v>
      </c>
      <c r="AI28" s="31">
        <f t="shared" si="28"/>
        <v>-5.9471751947199562E-4</v>
      </c>
      <c r="AJ28" s="31">
        <f t="shared" si="29"/>
        <v>-0.77313277531359459</v>
      </c>
      <c r="AK28" s="31">
        <f t="shared" si="30"/>
        <v>6.1696965261530599</v>
      </c>
      <c r="AL28" s="31">
        <f t="shared" si="31"/>
        <v>-1.5499616425033398</v>
      </c>
      <c r="AM28" s="37">
        <f t="shared" si="32"/>
        <v>18035.697672482045</v>
      </c>
      <c r="AN28" s="31">
        <f t="shared" si="33"/>
        <v>5</v>
      </c>
      <c r="AO28" s="31">
        <f t="shared" si="33"/>
        <v>0</v>
      </c>
      <c r="AP28" s="31">
        <f t="shared" si="33"/>
        <v>0</v>
      </c>
      <c r="AQ28" s="31">
        <f t="shared" si="33"/>
        <v>0.41230158035440834</v>
      </c>
      <c r="AR28" s="31">
        <f t="shared" si="33"/>
        <v>-0.96467997967537755</v>
      </c>
      <c r="AS28" s="38">
        <f t="shared" si="34"/>
        <v>-0.10419358352238339</v>
      </c>
      <c r="AT28" s="35">
        <f t="shared" si="35"/>
        <v>1891.9514066541765</v>
      </c>
      <c r="AU28" s="30">
        <v>2600</v>
      </c>
      <c r="AV28" s="37">
        <v>1964.2027637959702</v>
      </c>
      <c r="AW28" s="31">
        <v>1.9167474129307676</v>
      </c>
      <c r="AX28" s="31">
        <v>5.9293318982100616E-4</v>
      </c>
      <c r="AY28" s="31">
        <v>1.1562197201509623</v>
      </c>
      <c r="AZ28" s="31">
        <v>-12.602293490091707</v>
      </c>
      <c r="BA28" s="31">
        <v>0.5806424057353895</v>
      </c>
      <c r="BB28" s="37">
        <v>16143.746265827869</v>
      </c>
      <c r="BC28" s="31">
        <v>3.0832525870692327</v>
      </c>
      <c r="BD28" s="31">
        <v>-5.9293318982100616E-4</v>
      </c>
      <c r="BE28" s="31">
        <v>-1.1562197201509623</v>
      </c>
      <c r="BF28" s="31">
        <v>13.014595070446116</v>
      </c>
      <c r="BG28" s="31">
        <v>-1.5453223854107672</v>
      </c>
      <c r="BH28" s="37">
        <v>18054.023637092047</v>
      </c>
      <c r="BI28" s="31">
        <v>5</v>
      </c>
      <c r="BJ28" s="31">
        <v>0</v>
      </c>
      <c r="BK28" s="31">
        <v>0</v>
      </c>
      <c r="BL28" s="31">
        <v>0.41230158035440923</v>
      </c>
      <c r="BM28" s="31">
        <v>-0.96467997967537766</v>
      </c>
      <c r="BN28" s="38">
        <v>-0.10419358352238339</v>
      </c>
      <c r="BO28" s="35">
        <v>1910.2773712641774</v>
      </c>
      <c r="BP28" s="30">
        <v>2600</v>
      </c>
      <c r="BQ28" s="37">
        <v>2031.5072489588615</v>
      </c>
      <c r="BR28" s="31">
        <v>1.9296905831544007</v>
      </c>
      <c r="BS28" s="31">
        <v>5.9044411862415366E-4</v>
      </c>
      <c r="BT28" s="31">
        <v>1.5351547084227999</v>
      </c>
      <c r="BU28" s="31">
        <v>-22.116096251550236</v>
      </c>
      <c r="BV28" s="31">
        <v>0.57417082062357294</v>
      </c>
      <c r="BW28" s="37">
        <v>16143.746265827869</v>
      </c>
      <c r="BX28" s="31">
        <v>3.0703094168455993</v>
      </c>
      <c r="BY28" s="31">
        <v>-5.9044411862415366E-4</v>
      </c>
      <c r="BZ28" s="31">
        <v>-1.5351547084227999</v>
      </c>
      <c r="CA28" s="31">
        <v>22.528397831904645</v>
      </c>
      <c r="CB28" s="31">
        <v>-1.5388508002989507</v>
      </c>
      <c r="CC28" s="37">
        <v>18079.587652485723</v>
      </c>
      <c r="CD28" s="31">
        <v>5</v>
      </c>
      <c r="CE28" s="31">
        <v>0</v>
      </c>
      <c r="CF28" s="31">
        <v>0</v>
      </c>
      <c r="CG28" s="31">
        <v>0.41230158035440923</v>
      </c>
      <c r="CH28" s="31">
        <v>-0.96467997967537777</v>
      </c>
      <c r="CI28" s="38">
        <v>-0.10419358352238339</v>
      </c>
      <c r="CJ28" s="35">
        <v>1935.8413866578551</v>
      </c>
    </row>
    <row r="29" spans="1:88">
      <c r="A29" s="30">
        <f t="shared" si="40"/>
        <v>2800</v>
      </c>
      <c r="B29" s="30">
        <f t="shared" si="0"/>
        <v>2278.7919639440447</v>
      </c>
      <c r="C29" s="31">
        <f t="shared" si="1"/>
        <v>2.0145849548907258</v>
      </c>
      <c r="D29" s="31">
        <f t="shared" si="2"/>
        <v>5.3310982948379928E-4</v>
      </c>
      <c r="E29" s="31">
        <f t="shared" si="3"/>
        <v>0.40188279453394071</v>
      </c>
      <c r="F29" s="31">
        <f t="shared" si="4"/>
        <v>-1.7076959183195142</v>
      </c>
      <c r="G29" s="32">
        <f t="shared" si="5"/>
        <v>0.64654729033653591</v>
      </c>
      <c r="H29" s="30">
        <f t="shared" si="6"/>
        <v>16752.431299912281</v>
      </c>
      <c r="I29" s="31">
        <f t="shared" si="7"/>
        <v>2.9854150451092738</v>
      </c>
      <c r="J29" s="31">
        <f t="shared" si="8"/>
        <v>-5.3310982948379928E-4</v>
      </c>
      <c r="K29" s="31">
        <f t="shared" si="9"/>
        <v>-0.40188279453394071</v>
      </c>
      <c r="L29" s="31">
        <f t="shared" si="10"/>
        <v>2.1199974986739223</v>
      </c>
      <c r="M29" s="32">
        <f t="shared" si="11"/>
        <v>-1.6112272700119141</v>
      </c>
      <c r="N29" s="30">
        <f t="shared" si="12"/>
        <v>19025.216770725761</v>
      </c>
      <c r="O29" s="33">
        <f t="shared" si="13"/>
        <v>5</v>
      </c>
      <c r="P29" s="31">
        <f t="shared" si="13"/>
        <v>0</v>
      </c>
      <c r="Q29" s="31">
        <f t="shared" si="13"/>
        <v>0</v>
      </c>
      <c r="R29" s="31">
        <f t="shared" si="13"/>
        <v>0.41230158035440811</v>
      </c>
      <c r="S29" s="32">
        <f t="shared" si="13"/>
        <v>-0.96467997967537822</v>
      </c>
      <c r="T29" s="34">
        <f t="shared" si="14"/>
        <v>-0.11930523522728886</v>
      </c>
      <c r="U29" s="35">
        <f t="shared" si="15"/>
        <v>2272.7854708134787</v>
      </c>
      <c r="V29" s="36">
        <f t="shared" si="16"/>
        <v>1.6733200530681511</v>
      </c>
      <c r="W29" s="14">
        <f t="shared" si="17"/>
        <v>0.99911097234254143</v>
      </c>
      <c r="X29" s="15">
        <f t="shared" si="18"/>
        <v>9.9942324331119603E-2</v>
      </c>
      <c r="Y29" s="35">
        <f t="shared" si="19"/>
        <v>17717.747495923133</v>
      </c>
      <c r="Z29" s="30">
        <f t="shared" si="41"/>
        <v>2800</v>
      </c>
      <c r="AA29" s="37">
        <f t="shared" si="20"/>
        <v>2308.9060192936663</v>
      </c>
      <c r="AB29" s="31">
        <f t="shared" si="21"/>
        <v>2.0199624647745869</v>
      </c>
      <c r="AC29" s="31">
        <f t="shared" si="22"/>
        <v>5.3214955986168131E-4</v>
      </c>
      <c r="AD29" s="31">
        <f t="shared" si="23"/>
        <v>0.80231779794530356</v>
      </c>
      <c r="AE29" s="31">
        <f t="shared" si="24"/>
        <v>-5.9902354551234094</v>
      </c>
      <c r="AF29" s="31">
        <f t="shared" si="25"/>
        <v>0.64365170809138006</v>
      </c>
      <c r="AG29" s="37">
        <f t="shared" si="26"/>
        <v>16752.431299912281</v>
      </c>
      <c r="AH29" s="31">
        <f t="shared" si="27"/>
        <v>2.9800375352254131</v>
      </c>
      <c r="AI29" s="31">
        <f t="shared" si="28"/>
        <v>-5.3214955986168131E-4</v>
      </c>
      <c r="AJ29" s="31">
        <f t="shared" si="29"/>
        <v>-0.80231779794530356</v>
      </c>
      <c r="AK29" s="31">
        <f t="shared" si="30"/>
        <v>6.4025370354778177</v>
      </c>
      <c r="AL29" s="31">
        <f t="shared" si="31"/>
        <v>-1.6083316877667582</v>
      </c>
      <c r="AM29" s="37">
        <f t="shared" si="32"/>
        <v>19037.334235826907</v>
      </c>
      <c r="AN29" s="31">
        <f t="shared" si="33"/>
        <v>5</v>
      </c>
      <c r="AO29" s="31">
        <f t="shared" si="33"/>
        <v>0</v>
      </c>
      <c r="AP29" s="31">
        <f t="shared" si="33"/>
        <v>0</v>
      </c>
      <c r="AQ29" s="31">
        <f t="shared" si="33"/>
        <v>0.41230158035440834</v>
      </c>
      <c r="AR29" s="31">
        <f t="shared" si="33"/>
        <v>-0.96467997967537811</v>
      </c>
      <c r="AS29" s="38">
        <f t="shared" si="34"/>
        <v>-0.11930523522728886</v>
      </c>
      <c r="AT29" s="35">
        <f t="shared" si="35"/>
        <v>2284.9029359146271</v>
      </c>
      <c r="AU29" s="30">
        <v>2800</v>
      </c>
      <c r="AV29" s="37">
        <v>2358.9756192330747</v>
      </c>
      <c r="AW29" s="31">
        <v>2.0289034647637667</v>
      </c>
      <c r="AX29" s="31">
        <v>5.3055295272075634E-4</v>
      </c>
      <c r="AY29" s="31">
        <v>1.1998659084607863</v>
      </c>
      <c r="AZ29" s="31">
        <v>-13.093522371123921</v>
      </c>
      <c r="BA29" s="31">
        <v>0.63883732348182165</v>
      </c>
      <c r="BB29" s="37">
        <v>16752.431299912281</v>
      </c>
      <c r="BC29" s="31">
        <v>2.9710965352362333</v>
      </c>
      <c r="BD29" s="31">
        <v>-5.3055295272075634E-4</v>
      </c>
      <c r="BE29" s="31">
        <v>-1.1998659084607863</v>
      </c>
      <c r="BF29" s="31">
        <v>13.50582395147833</v>
      </c>
      <c r="BG29" s="31">
        <v>-1.6035173031571999</v>
      </c>
      <c r="BH29" s="37">
        <v>19057.481526613563</v>
      </c>
      <c r="BI29" s="31">
        <v>5</v>
      </c>
      <c r="BJ29" s="31">
        <v>0</v>
      </c>
      <c r="BK29" s="31">
        <v>0</v>
      </c>
      <c r="BL29" s="31">
        <v>0.41230158035440923</v>
      </c>
      <c r="BM29" s="31">
        <v>-0.96467997967537822</v>
      </c>
      <c r="BN29" s="38">
        <v>-0.11930523522728886</v>
      </c>
      <c r="BO29" s="35">
        <v>2305.0502267012816</v>
      </c>
      <c r="BP29" s="30">
        <v>2800</v>
      </c>
      <c r="BQ29" s="37">
        <v>2428.8207843223831</v>
      </c>
      <c r="BR29" s="31">
        <v>2.0413758156725721</v>
      </c>
      <c r="BS29" s="31">
        <v>5.2832574720132681E-4</v>
      </c>
      <c r="BT29" s="31">
        <v>1.5931053300224614</v>
      </c>
      <c r="BU29" s="31">
        <v>-22.966462085215404</v>
      </c>
      <c r="BV29" s="31">
        <v>0.6321214422232343</v>
      </c>
      <c r="BW29" s="37">
        <v>16752.431299912281</v>
      </c>
      <c r="BX29" s="31">
        <v>2.9586241843274279</v>
      </c>
      <c r="BY29" s="31">
        <v>-5.2832574720132681E-4</v>
      </c>
      <c r="BZ29" s="31">
        <v>-1.5931053300224614</v>
      </c>
      <c r="CA29" s="31">
        <v>23.378763665569814</v>
      </c>
      <c r="CB29" s="31">
        <v>-1.5968014218986124</v>
      </c>
      <c r="CC29" s="37">
        <v>19085.586221933656</v>
      </c>
      <c r="CD29" s="31">
        <v>5</v>
      </c>
      <c r="CE29" s="31">
        <v>0</v>
      </c>
      <c r="CF29" s="31">
        <v>0</v>
      </c>
      <c r="CG29" s="31">
        <v>0.41230158035440923</v>
      </c>
      <c r="CH29" s="31">
        <v>-0.96467997967537811</v>
      </c>
      <c r="CI29" s="38">
        <v>-0.11930523522728886</v>
      </c>
      <c r="CJ29" s="35">
        <v>2333.1549220213765</v>
      </c>
    </row>
    <row r="30" spans="1:88">
      <c r="A30" s="30">
        <f>A29+200</f>
        <v>3000</v>
      </c>
      <c r="B30" s="30">
        <f t="shared" si="0"/>
        <v>2692.0065515877313</v>
      </c>
      <c r="C30" s="31">
        <f t="shared" si="1"/>
        <v>2.1158150558386248</v>
      </c>
      <c r="D30" s="31">
        <f t="shared" si="2"/>
        <v>4.806974906935627E-4</v>
      </c>
      <c r="E30" s="31">
        <f t="shared" si="3"/>
        <v>0.41598821310019835</v>
      </c>
      <c r="F30" s="31">
        <f t="shared" si="4"/>
        <v>-1.7820488644057595</v>
      </c>
      <c r="G30" s="32">
        <f t="shared" si="5"/>
        <v>0.70296896460156644</v>
      </c>
      <c r="H30" s="30">
        <f t="shared" si="6"/>
        <v>17339.738844919542</v>
      </c>
      <c r="I30" s="31">
        <f t="shared" si="7"/>
        <v>2.8841849441613756</v>
      </c>
      <c r="J30" s="31">
        <f t="shared" si="8"/>
        <v>-4.806974906935627E-4</v>
      </c>
      <c r="K30" s="31">
        <f t="shared" si="9"/>
        <v>-0.41598821310019835</v>
      </c>
      <c r="L30" s="31">
        <f t="shared" si="10"/>
        <v>2.1943504447601674</v>
      </c>
      <c r="M30" s="32">
        <f t="shared" si="11"/>
        <v>-1.6676489442769442</v>
      </c>
      <c r="N30" s="30">
        <f t="shared" si="12"/>
        <v>20025.73890337671</v>
      </c>
      <c r="O30" s="33">
        <f t="shared" si="13"/>
        <v>5</v>
      </c>
      <c r="P30" s="31">
        <f t="shared" si="13"/>
        <v>0</v>
      </c>
      <c r="Q30" s="31">
        <f t="shared" si="13"/>
        <v>0</v>
      </c>
      <c r="R30" s="31">
        <f t="shared" si="13"/>
        <v>0.41230158035440789</v>
      </c>
      <c r="S30" s="32">
        <f t="shared" si="13"/>
        <v>-0.96467997967537777</v>
      </c>
      <c r="T30" s="34">
        <f t="shared" si="14"/>
        <v>-0.1339745962155614</v>
      </c>
      <c r="U30" s="35">
        <f t="shared" si="15"/>
        <v>2686.0000584571653</v>
      </c>
      <c r="V30" s="36">
        <f t="shared" si="16"/>
        <v>1.7320508075688772</v>
      </c>
      <c r="W30" s="14">
        <f t="shared" si="17"/>
        <v>0.99911097234254143</v>
      </c>
      <c r="X30" s="15">
        <f t="shared" si="18"/>
        <v>9.9942324331119603E-2</v>
      </c>
      <c r="Y30" s="35">
        <f t="shared" si="19"/>
        <v>18304.532908279449</v>
      </c>
      <c r="Z30" s="30">
        <f>Z29+200</f>
        <v>3000</v>
      </c>
      <c r="AA30" s="37">
        <f t="shared" si="20"/>
        <v>2723.1775602610851</v>
      </c>
      <c r="AB30" s="31">
        <f t="shared" si="21"/>
        <v>2.1210102239508504</v>
      </c>
      <c r="AC30" s="31">
        <f t="shared" si="22"/>
        <v>4.7983162934152508E-4</v>
      </c>
      <c r="AD30" s="31">
        <f t="shared" si="23"/>
        <v>0.83047782001417769</v>
      </c>
      <c r="AE30" s="31">
        <f t="shared" si="24"/>
        <v>-6.2148984257112492</v>
      </c>
      <c r="AF30" s="31">
        <f t="shared" si="25"/>
        <v>0.69997175222912844</v>
      </c>
      <c r="AG30" s="37">
        <f t="shared" si="26"/>
        <v>17339.738844919542</v>
      </c>
      <c r="AH30" s="31">
        <f t="shared" si="27"/>
        <v>2.8789897760491496</v>
      </c>
      <c r="AI30" s="31">
        <f t="shared" si="28"/>
        <v>-4.7983162934152508E-4</v>
      </c>
      <c r="AJ30" s="31">
        <f t="shared" si="29"/>
        <v>-0.83047782001417769</v>
      </c>
      <c r="AK30" s="31">
        <f t="shared" si="30"/>
        <v>6.6272000060656575</v>
      </c>
      <c r="AL30" s="31">
        <f t="shared" si="31"/>
        <v>-1.6646517319045067</v>
      </c>
      <c r="AM30" s="37">
        <f t="shared" si="32"/>
        <v>20038.913321801589</v>
      </c>
      <c r="AN30" s="31">
        <f t="shared" si="33"/>
        <v>5</v>
      </c>
      <c r="AO30" s="31">
        <f t="shared" si="33"/>
        <v>0</v>
      </c>
      <c r="AP30" s="31">
        <f t="shared" si="33"/>
        <v>0</v>
      </c>
      <c r="AQ30" s="31">
        <f t="shared" si="33"/>
        <v>0.41230158035440834</v>
      </c>
      <c r="AR30" s="31">
        <f t="shared" si="33"/>
        <v>-0.96467997967537822</v>
      </c>
      <c r="AS30" s="38">
        <f t="shared" si="34"/>
        <v>-0.1339745962155614</v>
      </c>
      <c r="AT30" s="35">
        <f t="shared" si="35"/>
        <v>2699.1744768820458</v>
      </c>
      <c r="AU30" s="30">
        <v>3000</v>
      </c>
      <c r="AV30" s="37">
        <v>2775.004519993438</v>
      </c>
      <c r="AW30" s="31">
        <v>2.129648050572909</v>
      </c>
      <c r="AX30" s="31">
        <v>4.7839199157118198E-4</v>
      </c>
      <c r="AY30" s="31">
        <v>1.2419792088867219</v>
      </c>
      <c r="AZ30" s="31">
        <v>-13.56749891399993</v>
      </c>
      <c r="BA30" s="31">
        <v>0.69498839071640228</v>
      </c>
      <c r="BB30" s="37">
        <v>17339.738844919542</v>
      </c>
      <c r="BC30" s="31">
        <v>2.870351949427091</v>
      </c>
      <c r="BD30" s="31">
        <v>-4.7839199157118198E-4</v>
      </c>
      <c r="BE30" s="31">
        <v>-1.2419792088867219</v>
      </c>
      <c r="BF30" s="31">
        <v>13.979800494354336</v>
      </c>
      <c r="BG30" s="31">
        <v>-1.6596683703917798</v>
      </c>
      <c r="BH30" s="37">
        <v>20060.817972381188</v>
      </c>
      <c r="BI30" s="31">
        <v>5</v>
      </c>
      <c r="BJ30" s="31">
        <v>0</v>
      </c>
      <c r="BK30" s="31">
        <v>0</v>
      </c>
      <c r="BL30" s="31">
        <v>0.41230158035440567</v>
      </c>
      <c r="BM30" s="31">
        <v>-0.96467997967537755</v>
      </c>
      <c r="BN30" s="38">
        <v>-0.1339745962155614</v>
      </c>
      <c r="BO30" s="35">
        <v>2721.0791274616449</v>
      </c>
      <c r="BP30" s="30">
        <v>3000</v>
      </c>
      <c r="BQ30" s="37">
        <v>2847.3011343655098</v>
      </c>
      <c r="BR30" s="31">
        <v>2.1416974863015881</v>
      </c>
      <c r="BS30" s="31">
        <v>4.7638375228306888E-4</v>
      </c>
      <c r="BT30" s="31">
        <v>1.6490206809798533</v>
      </c>
      <c r="BU30" s="31">
        <v>-23.786962413236754</v>
      </c>
      <c r="BV30" s="31">
        <v>0.68803679318062638</v>
      </c>
      <c r="BW30" s="37">
        <v>17339.738844919542</v>
      </c>
      <c r="BX30" s="31">
        <v>2.8583025136984124</v>
      </c>
      <c r="BY30" s="31">
        <v>-4.7638375228306888E-4</v>
      </c>
      <c r="BZ30" s="31">
        <v>-1.6490206809798533</v>
      </c>
      <c r="CA30" s="31">
        <v>24.199263993591156</v>
      </c>
      <c r="CB30" s="31">
        <v>-1.6527167728560042</v>
      </c>
      <c r="CC30" s="37">
        <v>20091.374116984043</v>
      </c>
      <c r="CD30" s="31">
        <v>5</v>
      </c>
      <c r="CE30" s="31">
        <v>0</v>
      </c>
      <c r="CF30" s="31">
        <v>0</v>
      </c>
      <c r="CG30" s="31">
        <v>0.41230158035440212</v>
      </c>
      <c r="CH30" s="31">
        <v>-0.96467997967537777</v>
      </c>
      <c r="CI30" s="38">
        <v>-0.1339745962155614</v>
      </c>
      <c r="CJ30" s="35">
        <v>2751.6352720645032</v>
      </c>
    </row>
    <row r="31" spans="1:88">
      <c r="A31" s="30">
        <f t="shared" ref="A31:A41" si="42">A30+200</f>
        <v>3200</v>
      </c>
      <c r="B31" s="30">
        <f t="shared" si="0"/>
        <v>3124.4758067653033</v>
      </c>
      <c r="C31" s="31">
        <f t="shared" si="1"/>
        <v>2.2073999359702063</v>
      </c>
      <c r="D31" s="31">
        <f t="shared" si="2"/>
        <v>4.3634376000465465E-4</v>
      </c>
      <c r="E31" s="31">
        <f t="shared" si="3"/>
        <v>0.42963077908150671</v>
      </c>
      <c r="F31" s="31">
        <f t="shared" si="4"/>
        <v>-1.8539620067291489</v>
      </c>
      <c r="G31" s="32">
        <f t="shared" si="5"/>
        <v>0.75753922852679989</v>
      </c>
      <c r="H31" s="30">
        <f t="shared" si="6"/>
        <v>17907.774589229088</v>
      </c>
      <c r="I31" s="31">
        <f t="shared" si="7"/>
        <v>2.7926000640297937</v>
      </c>
      <c r="J31" s="31">
        <f t="shared" si="8"/>
        <v>-4.3634376000465465E-4</v>
      </c>
      <c r="K31" s="31">
        <f t="shared" si="9"/>
        <v>-0.42963077908150671</v>
      </c>
      <c r="L31" s="31">
        <f t="shared" si="10"/>
        <v>2.2662635870835572</v>
      </c>
      <c r="M31" s="32">
        <f t="shared" si="11"/>
        <v>-1.7222192082021781</v>
      </c>
      <c r="N31" s="30">
        <f t="shared" si="12"/>
        <v>21026.243902863825</v>
      </c>
      <c r="O31" s="33">
        <f t="shared" si="13"/>
        <v>5</v>
      </c>
      <c r="P31" s="31">
        <f t="shared" si="13"/>
        <v>0</v>
      </c>
      <c r="Q31" s="31">
        <f t="shared" si="13"/>
        <v>0</v>
      </c>
      <c r="R31" s="31">
        <f t="shared" si="13"/>
        <v>0.41230158035440834</v>
      </c>
      <c r="S31" s="32">
        <f t="shared" si="13"/>
        <v>-0.96467997967537822</v>
      </c>
      <c r="T31" s="34">
        <f t="shared" si="14"/>
        <v>-0.14816458000008004</v>
      </c>
      <c r="U31" s="35">
        <f t="shared" si="15"/>
        <v>3118.4693136347373</v>
      </c>
      <c r="V31" s="36">
        <f t="shared" si="16"/>
        <v>1.7888543819998317</v>
      </c>
      <c r="W31" s="14">
        <f t="shared" si="17"/>
        <v>0.99911097234254143</v>
      </c>
      <c r="X31" s="15">
        <f t="shared" si="18"/>
        <v>9.9942324331119603E-2</v>
      </c>
      <c r="Y31" s="35">
        <f t="shared" si="19"/>
        <v>18872.063653101875</v>
      </c>
      <c r="Z31" s="30">
        <f t="shared" ref="Z31:Z41" si="43">Z30+200</f>
        <v>3200</v>
      </c>
      <c r="AA31" s="37">
        <f t="shared" si="20"/>
        <v>3156.6690860923409</v>
      </c>
      <c r="AB31" s="31">
        <f t="shared" si="21"/>
        <v>2.212430135865056</v>
      </c>
      <c r="AC31" s="31">
        <f t="shared" si="22"/>
        <v>4.355577912710844E-4</v>
      </c>
      <c r="AD31" s="31">
        <f t="shared" si="23"/>
        <v>0.85771380434921374</v>
      </c>
      <c r="AE31" s="31">
        <f t="shared" si="24"/>
        <v>-6.4321893473102207</v>
      </c>
      <c r="AF31" s="31">
        <f t="shared" si="25"/>
        <v>0.75444372089920042</v>
      </c>
      <c r="AG31" s="37">
        <f t="shared" si="26"/>
        <v>17907.774589229088</v>
      </c>
      <c r="AH31" s="31">
        <f t="shared" si="27"/>
        <v>2.787569864134944</v>
      </c>
      <c r="AI31" s="31">
        <f t="shared" si="28"/>
        <v>-4.355577912710844E-4</v>
      </c>
      <c r="AJ31" s="31">
        <f t="shared" si="29"/>
        <v>-0.85771380434921374</v>
      </c>
      <c r="AK31" s="31">
        <f t="shared" si="30"/>
        <v>6.8444909276646282</v>
      </c>
      <c r="AL31" s="31">
        <f t="shared" si="31"/>
        <v>-1.7191237005745785</v>
      </c>
      <c r="AM31" s="37">
        <f t="shared" si="32"/>
        <v>21040.440591942388</v>
      </c>
      <c r="AN31" s="31">
        <f t="shared" si="33"/>
        <v>5</v>
      </c>
      <c r="AO31" s="31">
        <f t="shared" si="33"/>
        <v>0</v>
      </c>
      <c r="AP31" s="31">
        <f t="shared" si="33"/>
        <v>0</v>
      </c>
      <c r="AQ31" s="31">
        <f t="shared" si="33"/>
        <v>0.41230158035440745</v>
      </c>
      <c r="AR31" s="31">
        <f t="shared" si="33"/>
        <v>-0.96467997967537811</v>
      </c>
      <c r="AS31" s="38">
        <f t="shared" si="34"/>
        <v>-0.14816458000008004</v>
      </c>
      <c r="AT31" s="35">
        <f t="shared" si="35"/>
        <v>3132.6660027133016</v>
      </c>
      <c r="AU31" s="30">
        <v>3200</v>
      </c>
      <c r="AV31" s="37">
        <v>3210.1957399397961</v>
      </c>
      <c r="AW31" s="31">
        <v>2.220793675528721</v>
      </c>
      <c r="AX31" s="31">
        <v>4.3425098819863676E-4</v>
      </c>
      <c r="AY31" s="31">
        <v>1.2827106112944364</v>
      </c>
      <c r="AZ31" s="31">
        <v>-14.025922478632509</v>
      </c>
      <c r="BA31" s="31">
        <v>0.74929692726002184</v>
      </c>
      <c r="BB31" s="37">
        <v>17907.774589229088</v>
      </c>
      <c r="BC31" s="31">
        <v>2.779206324471279</v>
      </c>
      <c r="BD31" s="31">
        <v>-4.3425098819863676E-4</v>
      </c>
      <c r="BE31" s="31">
        <v>-1.2827106112944364</v>
      </c>
      <c r="BF31" s="31">
        <v>14.438224058986917</v>
      </c>
      <c r="BG31" s="31">
        <v>-1.7139769069353996</v>
      </c>
      <c r="BH31" s="37">
        <v>21064.044936637092</v>
      </c>
      <c r="BI31" s="31">
        <v>5</v>
      </c>
      <c r="BJ31" s="31">
        <v>0</v>
      </c>
      <c r="BK31" s="31">
        <v>0</v>
      </c>
      <c r="BL31" s="31">
        <v>0.41230158035440745</v>
      </c>
      <c r="BM31" s="31">
        <v>-0.96467997967537777</v>
      </c>
      <c r="BN31" s="38">
        <v>-0.14816458000008004</v>
      </c>
      <c r="BO31" s="35">
        <v>3156.2703474080031</v>
      </c>
      <c r="BP31" s="30">
        <v>3200</v>
      </c>
      <c r="BQ31" s="37">
        <v>3284.8633621931867</v>
      </c>
      <c r="BR31" s="31">
        <v>2.232460491505813</v>
      </c>
      <c r="BS31" s="31">
        <v>4.3242804820221609E-4</v>
      </c>
      <c r="BT31" s="31">
        <v>1.7031012359964228</v>
      </c>
      <c r="BU31" s="31">
        <v>-24.580538995890855</v>
      </c>
      <c r="BV31" s="31">
        <v>0.74211734819719577</v>
      </c>
      <c r="BW31" s="37">
        <v>17907.774589229088</v>
      </c>
      <c r="BX31" s="31">
        <v>2.767539508494187</v>
      </c>
      <c r="BY31" s="31">
        <v>-4.3242804820221609E-4</v>
      </c>
      <c r="BZ31" s="31">
        <v>-1.7031012359964228</v>
      </c>
      <c r="CA31" s="31">
        <v>24.992840576245257</v>
      </c>
      <c r="CB31" s="31">
        <v>-1.7067973278725737</v>
      </c>
      <c r="CC31" s="37">
        <v>21096.972089121267</v>
      </c>
      <c r="CD31" s="31">
        <v>5</v>
      </c>
      <c r="CE31" s="31">
        <v>0</v>
      </c>
      <c r="CF31" s="31">
        <v>0</v>
      </c>
      <c r="CG31" s="31">
        <v>0.41230158035440212</v>
      </c>
      <c r="CH31" s="31">
        <v>-0.96467997967537789</v>
      </c>
      <c r="CI31" s="38">
        <v>-0.14816458000008004</v>
      </c>
      <c r="CJ31" s="35">
        <v>3189.1974998921801</v>
      </c>
    </row>
    <row r="32" spans="1:88">
      <c r="A32" s="30">
        <f t="shared" si="42"/>
        <v>3400</v>
      </c>
      <c r="B32" s="30">
        <f t="shared" si="0"/>
        <v>3574.420161993608</v>
      </c>
      <c r="C32" s="31">
        <f t="shared" si="1"/>
        <v>2.2907799919761223</v>
      </c>
      <c r="D32" s="31">
        <f t="shared" si="2"/>
        <v>3.984147070623351E-4</v>
      </c>
      <c r="E32" s="31">
        <f t="shared" si="3"/>
        <v>0.44285327054236473</v>
      </c>
      <c r="F32" s="31">
        <f t="shared" si="4"/>
        <v>-1.9236608384296718</v>
      </c>
      <c r="G32" s="32">
        <f t="shared" si="5"/>
        <v>0.81042919437023198</v>
      </c>
      <c r="H32" s="30">
        <f t="shared" si="6"/>
        <v>18458.319683816546</v>
      </c>
      <c r="I32" s="31">
        <f t="shared" si="7"/>
        <v>2.7092200080238777</v>
      </c>
      <c r="J32" s="31">
        <f t="shared" si="8"/>
        <v>-3.984147070623351E-4</v>
      </c>
      <c r="K32" s="31">
        <f t="shared" si="9"/>
        <v>-0.44285327054236473</v>
      </c>
      <c r="L32" s="31">
        <f t="shared" si="10"/>
        <v>2.3359624187840797</v>
      </c>
      <c r="M32" s="32">
        <f t="shared" si="11"/>
        <v>-1.7751091740456098</v>
      </c>
      <c r="N32" s="30">
        <f t="shared" si="12"/>
        <v>22026.733352679588</v>
      </c>
      <c r="O32" s="33">
        <f t="shared" si="13"/>
        <v>5</v>
      </c>
      <c r="P32" s="31">
        <f t="shared" si="13"/>
        <v>0</v>
      </c>
      <c r="Q32" s="31">
        <f t="shared" si="13"/>
        <v>0</v>
      </c>
      <c r="R32" s="31">
        <f t="shared" si="13"/>
        <v>0.41230158035440789</v>
      </c>
      <c r="S32" s="32">
        <f t="shared" si="13"/>
        <v>-0.96467997967537777</v>
      </c>
      <c r="T32" s="34">
        <f t="shared" si="14"/>
        <v>-0.16185959479155565</v>
      </c>
      <c r="U32" s="35">
        <f t="shared" si="15"/>
        <v>3568.4136688630419</v>
      </c>
      <c r="V32" s="36">
        <f t="shared" si="16"/>
        <v>1.8439088914585775</v>
      </c>
      <c r="W32" s="14">
        <f t="shared" si="17"/>
        <v>0.99911097234254143</v>
      </c>
      <c r="X32" s="15">
        <f t="shared" si="18"/>
        <v>9.9942324331119603E-2</v>
      </c>
      <c r="Y32" s="35">
        <f t="shared" si="19"/>
        <v>19422.119297873567</v>
      </c>
      <c r="Z32" s="30">
        <f t="shared" si="43"/>
        <v>3400</v>
      </c>
      <c r="AA32" s="37">
        <f t="shared" si="20"/>
        <v>3607.6042347687044</v>
      </c>
      <c r="AB32" s="31">
        <f t="shared" si="21"/>
        <v>2.2956600026783427</v>
      </c>
      <c r="AC32" s="31">
        <f t="shared" si="22"/>
        <v>3.9769705842965567E-4</v>
      </c>
      <c r="AD32" s="31">
        <f t="shared" si="23"/>
        <v>0.8841111529705421</v>
      </c>
      <c r="AE32" s="31">
        <f t="shared" si="24"/>
        <v>-6.6427895642562707</v>
      </c>
      <c r="AF32" s="31">
        <f t="shared" si="25"/>
        <v>0.80723841814185715</v>
      </c>
      <c r="AG32" s="37">
        <f t="shared" si="26"/>
        <v>18458.319683816546</v>
      </c>
      <c r="AH32" s="31">
        <f t="shared" si="27"/>
        <v>2.7043399973216578</v>
      </c>
      <c r="AI32" s="31">
        <f t="shared" si="28"/>
        <v>-3.9769705842965567E-4</v>
      </c>
      <c r="AJ32" s="31">
        <f t="shared" si="29"/>
        <v>-0.8841111529705421</v>
      </c>
      <c r="AK32" s="31">
        <f t="shared" si="30"/>
        <v>7.0550911446106799</v>
      </c>
      <c r="AL32" s="31">
        <f t="shared" si="31"/>
        <v>-1.7719183978172353</v>
      </c>
      <c r="AM32" s="37">
        <f t="shared" si="32"/>
        <v>22041.920835206209</v>
      </c>
      <c r="AN32" s="31">
        <f t="shared" si="33"/>
        <v>5</v>
      </c>
      <c r="AO32" s="31">
        <f t="shared" si="33"/>
        <v>0</v>
      </c>
      <c r="AP32" s="31">
        <f t="shared" si="33"/>
        <v>0</v>
      </c>
      <c r="AQ32" s="31">
        <f t="shared" si="33"/>
        <v>0.41230158035440923</v>
      </c>
      <c r="AR32" s="31">
        <f t="shared" si="33"/>
        <v>-0.96467997967537811</v>
      </c>
      <c r="AS32" s="38">
        <f t="shared" si="34"/>
        <v>-0.16185959479155565</v>
      </c>
      <c r="AT32" s="35">
        <f t="shared" si="35"/>
        <v>3583.6011513896651</v>
      </c>
      <c r="AU32" s="30">
        <v>3400</v>
      </c>
      <c r="AV32" s="37">
        <v>3662.7782466684389</v>
      </c>
      <c r="AW32" s="31">
        <v>2.3037738279577153</v>
      </c>
      <c r="AX32" s="31">
        <v>3.965038488297479E-4</v>
      </c>
      <c r="AY32" s="31">
        <v>1.3221878343668896</v>
      </c>
      <c r="AZ32" s="31">
        <v>-14.470230512554808</v>
      </c>
      <c r="BA32" s="31">
        <v>0.80193322468995953</v>
      </c>
      <c r="BB32" s="37">
        <v>18458.319683816546</v>
      </c>
      <c r="BC32" s="31">
        <v>2.6962261720422851</v>
      </c>
      <c r="BD32" s="31">
        <v>-3.965038488297479E-4</v>
      </c>
      <c r="BE32" s="31">
        <v>-1.3221878343668896</v>
      </c>
      <c r="BF32" s="31">
        <v>14.882532092909214</v>
      </c>
      <c r="BG32" s="31">
        <v>-1.7666132043653378</v>
      </c>
      <c r="BH32" s="37">
        <v>22067.172537953193</v>
      </c>
      <c r="BI32" s="31">
        <v>5</v>
      </c>
      <c r="BJ32" s="31">
        <v>0</v>
      </c>
      <c r="BK32" s="31">
        <v>0</v>
      </c>
      <c r="BL32" s="31">
        <v>0.41230158035440567</v>
      </c>
      <c r="BM32" s="31">
        <v>-0.96467997967537822</v>
      </c>
      <c r="BN32" s="38">
        <v>-0.16185959479155565</v>
      </c>
      <c r="BO32" s="35">
        <v>3608.8528541366459</v>
      </c>
      <c r="BP32" s="30">
        <v>3400</v>
      </c>
      <c r="BQ32" s="37">
        <v>3739.7438700095508</v>
      </c>
      <c r="BR32" s="31">
        <v>2.315092301978467</v>
      </c>
      <c r="BS32" s="31">
        <v>3.9483936735610795E-4</v>
      </c>
      <c r="BT32" s="31">
        <v>1.7555165717833106</v>
      </c>
      <c r="BU32" s="31">
        <v>-25.349680197191045</v>
      </c>
      <c r="BV32" s="31">
        <v>0.7945326839840835</v>
      </c>
      <c r="BW32" s="37">
        <v>18458.319683816546</v>
      </c>
      <c r="BX32" s="31">
        <v>2.6849076980215334</v>
      </c>
      <c r="BY32" s="31">
        <v>-3.9483936735610795E-4</v>
      </c>
      <c r="BZ32" s="31">
        <v>-1.7555165717833106</v>
      </c>
      <c r="CA32" s="31">
        <v>25.761981777545454</v>
      </c>
      <c r="CB32" s="31">
        <v>-1.7592126636594616</v>
      </c>
      <c r="CC32" s="37">
        <v>22102.39769152509</v>
      </c>
      <c r="CD32" s="31">
        <v>5</v>
      </c>
      <c r="CE32" s="31">
        <v>0</v>
      </c>
      <c r="CF32" s="31">
        <v>0</v>
      </c>
      <c r="CG32" s="31">
        <v>0.41230158035440923</v>
      </c>
      <c r="CH32" s="31">
        <v>-0.96467997967537811</v>
      </c>
      <c r="CI32" s="38">
        <v>-0.16185959479155565</v>
      </c>
      <c r="CJ32" s="35">
        <v>3644.0780077085442</v>
      </c>
    </row>
    <row r="33" spans="1:88">
      <c r="A33" s="30">
        <f t="shared" si="42"/>
        <v>3600</v>
      </c>
      <c r="B33" s="30">
        <f t="shared" si="0"/>
        <v>4040.3183693484234</v>
      </c>
      <c r="C33" s="31">
        <f t="shared" si="1"/>
        <v>2.3671114101100619</v>
      </c>
      <c r="D33" s="31">
        <f t="shared" si="2"/>
        <v>3.6567897081804767E-4</v>
      </c>
      <c r="E33" s="31">
        <f t="shared" si="3"/>
        <v>0.45569225594248935</v>
      </c>
      <c r="F33" s="31">
        <f t="shared" si="4"/>
        <v>-1.9913381203744387</v>
      </c>
      <c r="G33" s="32">
        <f t="shared" si="5"/>
        <v>0.86178513597073036</v>
      </c>
      <c r="H33" s="30">
        <f t="shared" si="6"/>
        <v>18992.896730241046</v>
      </c>
      <c r="I33" s="31">
        <f t="shared" si="7"/>
        <v>2.6328885898899386</v>
      </c>
      <c r="J33" s="31">
        <f t="shared" si="8"/>
        <v>-3.6567897081804767E-4</v>
      </c>
      <c r="K33" s="31">
        <f t="shared" si="9"/>
        <v>-0.45569225594248935</v>
      </c>
      <c r="L33" s="31">
        <f t="shared" si="10"/>
        <v>2.4036397007288466</v>
      </c>
      <c r="M33" s="32">
        <f t="shared" si="11"/>
        <v>-1.8264651156461085</v>
      </c>
      <c r="N33" s="30">
        <f t="shared" si="12"/>
        <v>23027.208606458906</v>
      </c>
      <c r="O33" s="33">
        <f t="shared" si="13"/>
        <v>5</v>
      </c>
      <c r="P33" s="31">
        <f t="shared" si="13"/>
        <v>0</v>
      </c>
      <c r="Q33" s="31">
        <f t="shared" si="13"/>
        <v>0</v>
      </c>
      <c r="R33" s="31">
        <f t="shared" si="13"/>
        <v>0.41230158035440789</v>
      </c>
      <c r="S33" s="32">
        <f t="shared" si="13"/>
        <v>-0.96467997967537811</v>
      </c>
      <c r="T33" s="34">
        <f t="shared" si="14"/>
        <v>-0.17505800169520536</v>
      </c>
      <c r="U33" s="35">
        <f t="shared" si="15"/>
        <v>4034.3118762178574</v>
      </c>
      <c r="V33" s="36">
        <f t="shared" si="16"/>
        <v>1.8973665961010275</v>
      </c>
      <c r="W33" s="14">
        <f t="shared" si="17"/>
        <v>0.99911097234254143</v>
      </c>
      <c r="X33" s="15">
        <f t="shared" si="18"/>
        <v>9.9942324331119603E-2</v>
      </c>
      <c r="Y33" s="35">
        <f t="shared" si="19"/>
        <v>19956.221090518749</v>
      </c>
      <c r="Z33" s="30">
        <f t="shared" si="43"/>
        <v>3600</v>
      </c>
      <c r="AA33" s="37">
        <f t="shared" si="20"/>
        <v>4074.4644985295931</v>
      </c>
      <c r="AB33" s="31">
        <f t="shared" si="21"/>
        <v>2.3718539280518915</v>
      </c>
      <c r="AC33" s="31">
        <f t="shared" si="22"/>
        <v>3.650202877705714E-4</v>
      </c>
      <c r="AD33" s="31">
        <f t="shared" si="23"/>
        <v>0.90974287105896079</v>
      </c>
      <c r="AE33" s="31">
        <f t="shared" si="24"/>
        <v>-6.8472815178822311</v>
      </c>
      <c r="AF33" s="31">
        <f t="shared" si="25"/>
        <v>0.85850185431869463</v>
      </c>
      <c r="AG33" s="37">
        <f t="shared" si="26"/>
        <v>18992.896730241046</v>
      </c>
      <c r="AH33" s="31">
        <f t="shared" si="27"/>
        <v>2.6281460719481093</v>
      </c>
      <c r="AI33" s="31">
        <f t="shared" si="28"/>
        <v>-3.650202877705714E-4</v>
      </c>
      <c r="AJ33" s="31">
        <f t="shared" si="29"/>
        <v>-0.90974287105896079</v>
      </c>
      <c r="AK33" s="31">
        <f t="shared" si="30"/>
        <v>7.2595830982366385</v>
      </c>
      <c r="AL33" s="31">
        <f t="shared" si="31"/>
        <v>-1.8231818339940729</v>
      </c>
      <c r="AM33" s="37">
        <f t="shared" si="32"/>
        <v>23043.358145391598</v>
      </c>
      <c r="AN33" s="31">
        <f t="shared" si="33"/>
        <v>5.0000000000000009</v>
      </c>
      <c r="AO33" s="31">
        <f t="shared" si="33"/>
        <v>0</v>
      </c>
      <c r="AP33" s="31">
        <f t="shared" si="33"/>
        <v>0</v>
      </c>
      <c r="AQ33" s="31">
        <f t="shared" si="33"/>
        <v>0.41230158035440745</v>
      </c>
      <c r="AR33" s="31">
        <f t="shared" si="33"/>
        <v>-0.96467997967537822</v>
      </c>
      <c r="AS33" s="38">
        <f t="shared" si="34"/>
        <v>-0.17505800169520536</v>
      </c>
      <c r="AT33" s="35">
        <f t="shared" si="35"/>
        <v>4050.4614151505539</v>
      </c>
      <c r="AU33" s="30">
        <v>3600</v>
      </c>
      <c r="AV33" s="37">
        <v>4131.238088394236</v>
      </c>
      <c r="AW33" s="31">
        <v>2.3797391488664252</v>
      </c>
      <c r="AX33" s="31">
        <v>3.6392511821299725E-4</v>
      </c>
      <c r="AY33" s="31">
        <v>1.3605200573193565</v>
      </c>
      <c r="AZ33" s="31">
        <v>-14.90165180540065</v>
      </c>
      <c r="BA33" s="31">
        <v>0.85304285529324841</v>
      </c>
      <c r="BB33" s="37">
        <v>18992.896730241046</v>
      </c>
      <c r="BC33" s="31">
        <v>2.6202608511335757</v>
      </c>
      <c r="BD33" s="31">
        <v>-3.6392511821299725E-4</v>
      </c>
      <c r="BE33" s="31">
        <v>-1.3605200573193565</v>
      </c>
      <c r="BF33" s="31">
        <v>15.313953385755056</v>
      </c>
      <c r="BG33" s="31">
        <v>-1.8177228349686263</v>
      </c>
      <c r="BH33" s="37">
        <v>23070.209426103487</v>
      </c>
      <c r="BI33" s="31">
        <v>5.0000000000000009</v>
      </c>
      <c r="BJ33" s="31">
        <v>0</v>
      </c>
      <c r="BK33" s="31">
        <v>0</v>
      </c>
      <c r="BL33" s="31">
        <v>0.41230158035440567</v>
      </c>
      <c r="BM33" s="31">
        <v>-0.96467997967537789</v>
      </c>
      <c r="BN33" s="38">
        <v>-0.17505800169520536</v>
      </c>
      <c r="BO33" s="35">
        <v>4077.312695862443</v>
      </c>
      <c r="BP33" s="30">
        <v>3600</v>
      </c>
      <c r="BQ33" s="37">
        <v>4210.4350614399082</v>
      </c>
      <c r="BR33" s="31">
        <v>2.3907387284561015</v>
      </c>
      <c r="BS33" s="31">
        <v>3.6239739882554218E-4</v>
      </c>
      <c r="BT33" s="31">
        <v>1.8064116495303915</v>
      </c>
      <c r="BU33" s="31">
        <v>-26.096513173666025</v>
      </c>
      <c r="BV33" s="31">
        <v>0.84542776173116452</v>
      </c>
      <c r="BW33" s="37">
        <v>18992.896730241046</v>
      </c>
      <c r="BX33" s="31">
        <v>2.609261271543899</v>
      </c>
      <c r="BY33" s="31">
        <v>-3.6239739882554218E-4</v>
      </c>
      <c r="BZ33" s="31">
        <v>-1.8064116495303915</v>
      </c>
      <c r="CA33" s="31">
        <v>26.508814754020428</v>
      </c>
      <c r="CB33" s="31">
        <v>-1.8101077414065423</v>
      </c>
      <c r="CC33" s="37">
        <v>23107.665929379946</v>
      </c>
      <c r="CD33" s="31">
        <v>5</v>
      </c>
      <c r="CE33" s="31">
        <v>0</v>
      </c>
      <c r="CF33" s="31">
        <v>0</v>
      </c>
      <c r="CG33" s="31">
        <v>0.41230158035440212</v>
      </c>
      <c r="CH33" s="31">
        <v>-0.96467997967537777</v>
      </c>
      <c r="CI33" s="38">
        <v>-0.17505800169520536</v>
      </c>
      <c r="CJ33" s="35">
        <v>4114.769199138902</v>
      </c>
    </row>
    <row r="34" spans="1:88">
      <c r="A34" s="30">
        <f t="shared" si="42"/>
        <v>3800</v>
      </c>
      <c r="B34" s="30">
        <f t="shared" si="0"/>
        <v>4520.8578664262468</v>
      </c>
      <c r="C34" s="31">
        <f t="shared" si="1"/>
        <v>2.4373344276145086</v>
      </c>
      <c r="D34" s="31">
        <f t="shared" si="2"/>
        <v>3.3719283847177475E-4</v>
      </c>
      <c r="E34" s="31">
        <f t="shared" si="3"/>
        <v>0.46817928726273406</v>
      </c>
      <c r="F34" s="31">
        <f t="shared" si="4"/>
        <v>-2.0571601704022489</v>
      </c>
      <c r="G34" s="32">
        <f t="shared" si="5"/>
        <v>0.91173326125170928</v>
      </c>
      <c r="H34" s="30">
        <f t="shared" si="6"/>
        <v>19512.819458848695</v>
      </c>
      <c r="I34" s="31">
        <f t="shared" si="7"/>
        <v>2.5626655723854919</v>
      </c>
      <c r="J34" s="31">
        <f t="shared" si="8"/>
        <v>-3.3719283847177475E-4</v>
      </c>
      <c r="K34" s="31">
        <f t="shared" si="9"/>
        <v>-0.46817928726273406</v>
      </c>
      <c r="L34" s="31">
        <f t="shared" si="10"/>
        <v>2.4694617507566572</v>
      </c>
      <c r="M34" s="32">
        <f t="shared" si="11"/>
        <v>-1.8764132409270868</v>
      </c>
      <c r="N34" s="30">
        <f t="shared" si="12"/>
        <v>24027.670832144377</v>
      </c>
      <c r="O34" s="33">
        <f t="shared" si="13"/>
        <v>5</v>
      </c>
      <c r="P34" s="31">
        <f t="shared" si="13"/>
        <v>0</v>
      </c>
      <c r="Q34" s="31">
        <f t="shared" si="13"/>
        <v>0</v>
      </c>
      <c r="R34" s="31">
        <f t="shared" si="13"/>
        <v>0.41230158035440834</v>
      </c>
      <c r="S34" s="32">
        <f t="shared" si="13"/>
        <v>-0.96467997967537755</v>
      </c>
      <c r="T34" s="34">
        <f t="shared" si="14"/>
        <v>-0.18776713793258626</v>
      </c>
      <c r="U34" s="35">
        <f t="shared" si="15"/>
        <v>4514.8513732956808</v>
      </c>
      <c r="V34" s="36">
        <f t="shared" si="16"/>
        <v>1.9493588689617927</v>
      </c>
      <c r="W34" s="14">
        <f t="shared" si="17"/>
        <v>0.99911097234254143</v>
      </c>
      <c r="X34" s="15">
        <f t="shared" si="18"/>
        <v>9.9942324331119603E-2</v>
      </c>
      <c r="Y34" s="35">
        <f t="shared" si="19"/>
        <v>20475.681593440931</v>
      </c>
      <c r="Z34" s="30">
        <f t="shared" si="43"/>
        <v>3800</v>
      </c>
      <c r="AA34" s="37">
        <f t="shared" si="20"/>
        <v>4555.9396792381795</v>
      </c>
      <c r="AB34" s="31">
        <f t="shared" si="21"/>
        <v>2.4419504556160789</v>
      </c>
      <c r="AC34" s="31">
        <f t="shared" si="22"/>
        <v>3.3658546636630498E-4</v>
      </c>
      <c r="AD34" s="31">
        <f t="shared" si="23"/>
        <v>0.93467194890950978</v>
      </c>
      <c r="AE34" s="31">
        <f t="shared" si="24"/>
        <v>-7.0461677499392126</v>
      </c>
      <c r="AF34" s="31">
        <f t="shared" si="25"/>
        <v>0.90836001001979261</v>
      </c>
      <c r="AG34" s="37">
        <f t="shared" si="26"/>
        <v>19512.819458848695</v>
      </c>
      <c r="AH34" s="31">
        <f t="shared" si="27"/>
        <v>2.5580495443839215</v>
      </c>
      <c r="AI34" s="31">
        <f t="shared" si="28"/>
        <v>-3.3658546636630498E-4</v>
      </c>
      <c r="AJ34" s="31">
        <f t="shared" si="29"/>
        <v>-0.93467194890950978</v>
      </c>
      <c r="AK34" s="31">
        <f t="shared" si="30"/>
        <v>7.45846933029362</v>
      </c>
      <c r="AL34" s="31">
        <f t="shared" si="31"/>
        <v>-1.8730399896951702</v>
      </c>
      <c r="AM34" s="37">
        <f t="shared" si="32"/>
        <v>24044.756054707836</v>
      </c>
      <c r="AN34" s="31">
        <f t="shared" si="33"/>
        <v>5</v>
      </c>
      <c r="AO34" s="31">
        <f t="shared" si="33"/>
        <v>0</v>
      </c>
      <c r="AP34" s="31">
        <f t="shared" si="33"/>
        <v>0</v>
      </c>
      <c r="AQ34" s="31">
        <f t="shared" si="33"/>
        <v>0.41230158035440745</v>
      </c>
      <c r="AR34" s="31">
        <f t="shared" si="33"/>
        <v>-0.96467997967537755</v>
      </c>
      <c r="AS34" s="38">
        <f t="shared" si="34"/>
        <v>-0.18776713793258626</v>
      </c>
      <c r="AT34" s="35">
        <f t="shared" si="35"/>
        <v>4531.9365958591397</v>
      </c>
      <c r="AU34" s="30">
        <v>3800</v>
      </c>
      <c r="AV34" s="37">
        <v>4614.268997964914</v>
      </c>
      <c r="AW34" s="31">
        <v>2.4496253659748599</v>
      </c>
      <c r="AX34" s="31">
        <v>3.355756097401496E-4</v>
      </c>
      <c r="AY34" s="31">
        <v>1.3978014821099325</v>
      </c>
      <c r="AZ34" s="31">
        <v>-15.321246580851845</v>
      </c>
      <c r="BA34" s="31">
        <v>0.90275142168068345</v>
      </c>
      <c r="BB34" s="37">
        <v>19512.819458848695</v>
      </c>
      <c r="BC34" s="31">
        <v>2.5503746340251405</v>
      </c>
      <c r="BD34" s="31">
        <v>-3.355756097401496E-4</v>
      </c>
      <c r="BE34" s="31">
        <v>-1.3978014821099325</v>
      </c>
      <c r="BF34" s="31">
        <v>15.733548161206253</v>
      </c>
      <c r="BG34" s="31">
        <v>-1.8674314013560613</v>
      </c>
      <c r="BH34" s="37">
        <v>24073.163064281816</v>
      </c>
      <c r="BI34" s="31">
        <v>5</v>
      </c>
      <c r="BJ34" s="31">
        <v>0</v>
      </c>
      <c r="BK34" s="31">
        <v>0</v>
      </c>
      <c r="BL34" s="31">
        <v>0.41230158035440745</v>
      </c>
      <c r="BM34" s="31">
        <v>-0.96467997967537789</v>
      </c>
      <c r="BN34" s="38">
        <v>-0.18776713793258626</v>
      </c>
      <c r="BO34" s="35">
        <v>4560.3436054331214</v>
      </c>
      <c r="BP34" s="30">
        <v>3800</v>
      </c>
      <c r="BQ34" s="37">
        <v>4695.6361529041633</v>
      </c>
      <c r="BR34" s="31">
        <v>2.4603315705721291</v>
      </c>
      <c r="BS34" s="31">
        <v>3.3416689860892994E-4</v>
      </c>
      <c r="BT34" s="31">
        <v>1.8559115445819057</v>
      </c>
      <c r="BU34" s="31">
        <v>-26.822873277490427</v>
      </c>
      <c r="BV34" s="31">
        <v>0.89492765678267872</v>
      </c>
      <c r="BW34" s="37">
        <v>19512.819458848695</v>
      </c>
      <c r="BX34" s="31">
        <v>2.5396684294278709</v>
      </c>
      <c r="BY34" s="31">
        <v>-3.3416689860892994E-4</v>
      </c>
      <c r="BZ34" s="31">
        <v>-1.8559115445819057</v>
      </c>
      <c r="CA34" s="31">
        <v>27.235174857844836</v>
      </c>
      <c r="CB34" s="31">
        <v>-1.8596076364580563</v>
      </c>
      <c r="CC34" s="37">
        <v>24112.789749451851</v>
      </c>
      <c r="CD34" s="31">
        <v>5</v>
      </c>
      <c r="CE34" s="31">
        <v>0</v>
      </c>
      <c r="CF34" s="31">
        <v>0</v>
      </c>
      <c r="CG34" s="31">
        <v>0.41230158035440923</v>
      </c>
      <c r="CH34" s="31">
        <v>-0.96467997967537755</v>
      </c>
      <c r="CI34" s="38">
        <v>-0.18776713793258626</v>
      </c>
      <c r="CJ34" s="35">
        <v>4599.9702906031571</v>
      </c>
    </row>
    <row r="35" spans="1:88">
      <c r="A35" s="30">
        <f t="shared" si="42"/>
        <v>4000</v>
      </c>
      <c r="B35" s="30">
        <f t="shared" si="0"/>
        <v>5014.896769705153</v>
      </c>
      <c r="C35" s="31">
        <f t="shared" si="1"/>
        <v>2.5022225691436466</v>
      </c>
      <c r="D35" s="31">
        <f t="shared" si="2"/>
        <v>3.1222217885704427E-4</v>
      </c>
      <c r="E35" s="31">
        <f t="shared" si="3"/>
        <v>0.48034181362622186</v>
      </c>
      <c r="F35" s="31">
        <f t="shared" si="4"/>
        <v>-2.1212716792333461</v>
      </c>
      <c r="G35" s="32">
        <f t="shared" si="5"/>
        <v>0.96038336670566038</v>
      </c>
      <c r="H35" s="30">
        <f t="shared" si="6"/>
        <v>20019.23076923077</v>
      </c>
      <c r="I35" s="31">
        <f t="shared" si="7"/>
        <v>2.4977774308563534</v>
      </c>
      <c r="J35" s="31">
        <f t="shared" si="8"/>
        <v>-3.1222217885704427E-4</v>
      </c>
      <c r="K35" s="31">
        <f t="shared" si="9"/>
        <v>-0.48034181362622186</v>
      </c>
      <c r="L35" s="31">
        <f t="shared" si="10"/>
        <v>2.5335732595877545</v>
      </c>
      <c r="M35" s="32">
        <f t="shared" si="11"/>
        <v>-1.9250633463810385</v>
      </c>
      <c r="N35" s="30">
        <f t="shared" si="12"/>
        <v>25028.121045805357</v>
      </c>
      <c r="O35" s="33">
        <f t="shared" si="13"/>
        <v>5</v>
      </c>
      <c r="P35" s="31">
        <f t="shared" si="13"/>
        <v>0</v>
      </c>
      <c r="Q35" s="31">
        <f t="shared" si="13"/>
        <v>0</v>
      </c>
      <c r="R35" s="31">
        <f t="shared" si="13"/>
        <v>0.41230158035440834</v>
      </c>
      <c r="S35" s="32">
        <f t="shared" si="13"/>
        <v>-0.96467997967537811</v>
      </c>
      <c r="T35" s="34">
        <f t="shared" si="14"/>
        <v>-0.19999999999999996</v>
      </c>
      <c r="U35" s="35">
        <f t="shared" si="15"/>
        <v>5008.890276574587</v>
      </c>
      <c r="V35" s="36">
        <f t="shared" si="16"/>
        <v>2</v>
      </c>
      <c r="W35" s="14">
        <f t="shared" si="17"/>
        <v>0.99911097234254143</v>
      </c>
      <c r="X35" s="15">
        <f t="shared" si="18"/>
        <v>9.9942324331119603E-2</v>
      </c>
      <c r="Y35" s="35">
        <f t="shared" si="19"/>
        <v>20981.642690162025</v>
      </c>
      <c r="Z35" s="30">
        <f t="shared" si="43"/>
        <v>4000</v>
      </c>
      <c r="AA35" s="37">
        <f t="shared" si="20"/>
        <v>5050.8899502020995</v>
      </c>
      <c r="AB35" s="31">
        <f t="shared" si="21"/>
        <v>2.5067217167057647</v>
      </c>
      <c r="AC35" s="31">
        <f t="shared" si="22"/>
        <v>3.1165978541177944E-4</v>
      </c>
      <c r="AD35" s="31">
        <f t="shared" si="23"/>
        <v>0.9589531858823982</v>
      </c>
      <c r="AE35" s="31">
        <f t="shared" si="24"/>
        <v>-7.239885454227025</v>
      </c>
      <c r="AF35" s="31">
        <f t="shared" si="25"/>
        <v>0.95692248396556934</v>
      </c>
      <c r="AG35" s="37">
        <f t="shared" si="26"/>
        <v>20019.23076923077</v>
      </c>
      <c r="AH35" s="31">
        <f t="shared" si="27"/>
        <v>2.4932782832942353</v>
      </c>
      <c r="AI35" s="31">
        <f t="shared" si="28"/>
        <v>-3.1165978541177944E-4</v>
      </c>
      <c r="AJ35" s="31">
        <f t="shared" si="29"/>
        <v>-0.9589531858823982</v>
      </c>
      <c r="AK35" s="31">
        <f t="shared" si="30"/>
        <v>7.6521870345814325</v>
      </c>
      <c r="AL35" s="31">
        <f t="shared" si="31"/>
        <v>-1.9216024636409474</v>
      </c>
      <c r="AM35" s="37">
        <f t="shared" si="32"/>
        <v>25046.117636053827</v>
      </c>
      <c r="AN35" s="31">
        <f t="shared" si="33"/>
        <v>5</v>
      </c>
      <c r="AO35" s="31">
        <f t="shared" si="33"/>
        <v>0</v>
      </c>
      <c r="AP35" s="31">
        <f t="shared" si="33"/>
        <v>0</v>
      </c>
      <c r="AQ35" s="31">
        <f t="shared" si="33"/>
        <v>0.41230158035440745</v>
      </c>
      <c r="AR35" s="31">
        <f t="shared" si="33"/>
        <v>-0.96467997967537811</v>
      </c>
      <c r="AS35" s="38">
        <f t="shared" si="34"/>
        <v>-0.19999999999999996</v>
      </c>
      <c r="AT35" s="35">
        <f t="shared" si="35"/>
        <v>5026.8868668230598</v>
      </c>
      <c r="AU35" s="30">
        <v>4000</v>
      </c>
      <c r="AV35" s="37">
        <v>5110.734568507607</v>
      </c>
      <c r="AW35" s="31">
        <v>2.5142022939939532</v>
      </c>
      <c r="AX35" s="31">
        <v>3.1072471325075589E-4</v>
      </c>
      <c r="AY35" s="31">
        <v>1.4341140611573346</v>
      </c>
      <c r="AZ35" s="31">
        <v>-15.729937196541512</v>
      </c>
      <c r="BA35" s="31">
        <v>0.95116819374388617</v>
      </c>
      <c r="BB35" s="37">
        <v>20019.23076923077</v>
      </c>
      <c r="BC35" s="31">
        <v>2.4857977060060468</v>
      </c>
      <c r="BD35" s="31">
        <v>-3.1072471325075589E-4</v>
      </c>
      <c r="BE35" s="31">
        <v>-1.4341140611573346</v>
      </c>
      <c r="BF35" s="31">
        <v>16.142238776895919</v>
      </c>
      <c r="BG35" s="31">
        <v>-1.9158481734192643</v>
      </c>
      <c r="BH35" s="37">
        <v>25076.039945206583</v>
      </c>
      <c r="BI35" s="31">
        <v>5</v>
      </c>
      <c r="BJ35" s="31">
        <v>0</v>
      </c>
      <c r="BK35" s="31">
        <v>0</v>
      </c>
      <c r="BL35" s="31">
        <v>0.41230158035440745</v>
      </c>
      <c r="BM35" s="31">
        <v>-0.96467997967537811</v>
      </c>
      <c r="BN35" s="38">
        <v>-0.19999999999999996</v>
      </c>
      <c r="BO35" s="35">
        <v>5056.8091759758145</v>
      </c>
      <c r="BP35" s="30">
        <v>4000</v>
      </c>
      <c r="BQ35" s="37">
        <v>5194.2155080460343</v>
      </c>
      <c r="BR35" s="31">
        <v>2.5246374114362564</v>
      </c>
      <c r="BS35" s="31">
        <v>3.0942032357046797E-4</v>
      </c>
      <c r="BT35" s="31">
        <v>1.9041250681259567</v>
      </c>
      <c r="BU35" s="31">
        <v>-27.530357201057377</v>
      </c>
      <c r="BV35" s="31">
        <v>0.94314118032672967</v>
      </c>
      <c r="BW35" s="37">
        <v>20019.23076923077</v>
      </c>
      <c r="BX35" s="31">
        <v>2.4753625885637436</v>
      </c>
      <c r="BY35" s="31">
        <v>-3.0942032357046797E-4</v>
      </c>
      <c r="BZ35" s="31">
        <v>-1.9041250681259567</v>
      </c>
      <c r="CA35" s="31">
        <v>27.942658781411787</v>
      </c>
      <c r="CB35" s="31">
        <v>-1.9078211600021076</v>
      </c>
      <c r="CC35" s="37">
        <v>25117.780414975794</v>
      </c>
      <c r="CD35" s="31">
        <v>5</v>
      </c>
      <c r="CE35" s="31">
        <v>0</v>
      </c>
      <c r="CF35" s="31">
        <v>0</v>
      </c>
      <c r="CG35" s="31">
        <v>0.41230158035440923</v>
      </c>
      <c r="CH35" s="31">
        <v>-0.96467997967537789</v>
      </c>
      <c r="CI35" s="38">
        <v>-0.19999999999999996</v>
      </c>
      <c r="CJ35" s="35">
        <v>5098.5496457450281</v>
      </c>
    </row>
    <row r="36" spans="1:88">
      <c r="A36" s="30">
        <f t="shared" si="42"/>
        <v>4200</v>
      </c>
      <c r="B36" s="30">
        <f t="shared" si="0"/>
        <v>5521.4343299078901</v>
      </c>
      <c r="C36" s="31">
        <f t="shared" si="1"/>
        <v>2.5624188230180849</v>
      </c>
      <c r="D36" s="31">
        <f t="shared" si="2"/>
        <v>2.9018823535498987E-4</v>
      </c>
      <c r="E36" s="31">
        <f t="shared" si="3"/>
        <v>0.49220389150596366</v>
      </c>
      <c r="F36" s="31">
        <f t="shared" si="4"/>
        <v>-2.1837994541391637</v>
      </c>
      <c r="G36" s="32">
        <f t="shared" si="5"/>
        <v>1.0078316782246277</v>
      </c>
      <c r="H36" s="30">
        <f t="shared" si="6"/>
        <v>20513.132301149966</v>
      </c>
      <c r="I36" s="31">
        <f t="shared" si="7"/>
        <v>2.4375811769819156</v>
      </c>
      <c r="J36" s="31">
        <f t="shared" si="8"/>
        <v>-2.9018823535498987E-4</v>
      </c>
      <c r="K36" s="31">
        <f t="shared" si="9"/>
        <v>-0.49220389150596366</v>
      </c>
      <c r="L36" s="31">
        <f t="shared" si="10"/>
        <v>2.5961010344935715</v>
      </c>
      <c r="M36" s="32">
        <f t="shared" si="11"/>
        <v>-1.9725116579000062</v>
      </c>
      <c r="N36" s="30">
        <f t="shared" si="12"/>
        <v>26028.560137927292</v>
      </c>
      <c r="O36" s="33">
        <f t="shared" si="13"/>
        <v>5</v>
      </c>
      <c r="P36" s="31">
        <f t="shared" si="13"/>
        <v>0</v>
      </c>
      <c r="Q36" s="31">
        <f t="shared" si="13"/>
        <v>0</v>
      </c>
      <c r="R36" s="31">
        <f t="shared" si="13"/>
        <v>0.41230158035440789</v>
      </c>
      <c r="S36" s="32">
        <f t="shared" si="13"/>
        <v>-0.96467997967537844</v>
      </c>
      <c r="T36" s="34">
        <f t="shared" si="14"/>
        <v>-0.21177301800310777</v>
      </c>
      <c r="U36" s="35">
        <f t="shared" si="15"/>
        <v>5515.427836777324</v>
      </c>
      <c r="V36" s="36">
        <f t="shared" si="16"/>
        <v>2.0493901531919199</v>
      </c>
      <c r="W36" s="14">
        <f t="shared" si="17"/>
        <v>0.99911097234254143</v>
      </c>
      <c r="X36" s="15">
        <f t="shared" si="18"/>
        <v>9.9942324331119603E-2</v>
      </c>
      <c r="Y36" s="35">
        <f t="shared" si="19"/>
        <v>21475.105129959287</v>
      </c>
      <c r="Z36" s="30">
        <f t="shared" si="43"/>
        <v>4200</v>
      </c>
      <c r="AA36" s="37">
        <f t="shared" si="20"/>
        <v>5558.316364754146</v>
      </c>
      <c r="AB36" s="31">
        <f t="shared" si="21"/>
        <v>2.5668095414521623</v>
      </c>
      <c r="AC36" s="31">
        <f t="shared" si="22"/>
        <v>2.8966553077950443E-4</v>
      </c>
      <c r="AD36" s="31">
        <f t="shared" si="23"/>
        <v>0.98263460825970383</v>
      </c>
      <c r="AE36" s="31">
        <f t="shared" si="24"/>
        <v>-7.4288177883714459</v>
      </c>
      <c r="AF36" s="31">
        <f t="shared" si="25"/>
        <v>1.0042853287201807</v>
      </c>
      <c r="AG36" s="37">
        <f t="shared" si="26"/>
        <v>20513.132301149966</v>
      </c>
      <c r="AH36" s="31">
        <f t="shared" si="27"/>
        <v>2.4331904585478381</v>
      </c>
      <c r="AI36" s="31">
        <f t="shared" si="28"/>
        <v>-2.8966553077950443E-4</v>
      </c>
      <c r="AJ36" s="31">
        <f t="shared" si="29"/>
        <v>-0.98263460825970383</v>
      </c>
      <c r="AK36" s="31">
        <f t="shared" si="30"/>
        <v>7.8411193687258534</v>
      </c>
      <c r="AL36" s="31">
        <f t="shared" si="31"/>
        <v>-1.9689653083955587</v>
      </c>
      <c r="AM36" s="37">
        <f t="shared" si="32"/>
        <v>26047.445582525073</v>
      </c>
      <c r="AN36" s="31">
        <f t="shared" si="33"/>
        <v>5</v>
      </c>
      <c r="AO36" s="31">
        <f t="shared" si="33"/>
        <v>0</v>
      </c>
      <c r="AP36" s="31">
        <f t="shared" si="33"/>
        <v>0</v>
      </c>
      <c r="AQ36" s="31">
        <f t="shared" si="33"/>
        <v>0.41230158035440745</v>
      </c>
      <c r="AR36" s="31">
        <f t="shared" si="33"/>
        <v>-0.964679979675378</v>
      </c>
      <c r="AS36" s="38">
        <f t="shared" si="34"/>
        <v>-0.21177301800310777</v>
      </c>
      <c r="AT36" s="35">
        <f t="shared" si="35"/>
        <v>5534.3132813751063</v>
      </c>
      <c r="AU36" s="30">
        <v>4200</v>
      </c>
      <c r="AV36" s="37">
        <v>5619.6388504925608</v>
      </c>
      <c r="AW36" s="31">
        <v>2.5741098373734026</v>
      </c>
      <c r="AX36" s="31">
        <v>2.8879644793173778E-4</v>
      </c>
      <c r="AY36" s="31">
        <v>1.4695296177449584</v>
      </c>
      <c r="AZ36" s="31">
        <v>-16.128532008766054</v>
      </c>
      <c r="BA36" s="31">
        <v>0.99838893586071731</v>
      </c>
      <c r="BB36" s="37">
        <v>20513.132301149966</v>
      </c>
      <c r="BC36" s="31">
        <v>2.4258901626265978</v>
      </c>
      <c r="BD36" s="31">
        <v>-2.8879644793173778E-4</v>
      </c>
      <c r="BE36" s="31">
        <v>-1.4695296177449584</v>
      </c>
      <c r="BF36" s="31">
        <v>16.54083358912046</v>
      </c>
      <c r="BG36" s="31">
        <v>-1.9630689155360956</v>
      </c>
      <c r="BH36" s="37">
        <v>26078.845759110733</v>
      </c>
      <c r="BI36" s="31">
        <v>5</v>
      </c>
      <c r="BJ36" s="31">
        <v>0</v>
      </c>
      <c r="BK36" s="31">
        <v>0</v>
      </c>
      <c r="BL36" s="31">
        <v>0.41230158035440567</v>
      </c>
      <c r="BM36" s="31">
        <v>-0.96467997967537833</v>
      </c>
      <c r="BN36" s="38">
        <v>-0.21177301800310777</v>
      </c>
      <c r="BO36" s="35">
        <v>5565.7134579607682</v>
      </c>
      <c r="BP36" s="30">
        <v>4200</v>
      </c>
      <c r="BQ36" s="37">
        <v>5705.1813582271916</v>
      </c>
      <c r="BR36" s="31">
        <v>2.5842934692465733</v>
      </c>
      <c r="BS36" s="31">
        <v>2.875841108039794E-4</v>
      </c>
      <c r="BT36" s="31">
        <v>1.9511475825316145</v>
      </c>
      <c r="BU36" s="31">
        <v>-28.220364289157938</v>
      </c>
      <c r="BV36" s="31">
        <v>0.99016369473238752</v>
      </c>
      <c r="BW36" s="37">
        <v>20513.132301149966</v>
      </c>
      <c r="BX36" s="31">
        <v>2.4157065307534276</v>
      </c>
      <c r="BY36" s="31">
        <v>-2.875841108039794E-4</v>
      </c>
      <c r="BZ36" s="31">
        <v>-1.9511475825316145</v>
      </c>
      <c r="CA36" s="31">
        <v>28.632665869512348</v>
      </c>
      <c r="CB36" s="31">
        <v>-1.9548436744077657</v>
      </c>
      <c r="CC36" s="37">
        <v>26122.647797076148</v>
      </c>
      <c r="CD36" s="31">
        <v>5.0000000000000009</v>
      </c>
      <c r="CE36" s="31">
        <v>0</v>
      </c>
      <c r="CF36" s="31">
        <v>0</v>
      </c>
      <c r="CG36" s="31">
        <v>0.41230158035440923</v>
      </c>
      <c r="CH36" s="31">
        <v>-0.96467997967537822</v>
      </c>
      <c r="CI36" s="38">
        <v>-0.21177301800310777</v>
      </c>
      <c r="CJ36" s="35">
        <v>5609.5154959261854</v>
      </c>
    </row>
    <row r="37" spans="1:88">
      <c r="A37" s="30">
        <f t="shared" si="42"/>
        <v>4400</v>
      </c>
      <c r="B37" s="30">
        <f t="shared" si="0"/>
        <v>6039.5876546211593</v>
      </c>
      <c r="C37" s="31">
        <f t="shared" si="1"/>
        <v>2.6184626634164978</v>
      </c>
      <c r="D37" s="31">
        <f t="shared" si="2"/>
        <v>2.706292427935795E-4</v>
      </c>
      <c r="E37" s="31">
        <f t="shared" si="3"/>
        <v>0.50378674427727932</v>
      </c>
      <c r="F37" s="31">
        <f t="shared" si="4"/>
        <v>-2.2448553684734414</v>
      </c>
      <c r="G37" s="32">
        <f t="shared" si="5"/>
        <v>1.0541630893098906</v>
      </c>
      <c r="H37" s="30">
        <f t="shared" si="6"/>
        <v>20995.407732633801</v>
      </c>
      <c r="I37" s="31">
        <f t="shared" si="7"/>
        <v>2.3815373365835022</v>
      </c>
      <c r="J37" s="31">
        <f t="shared" si="8"/>
        <v>-2.706292427935795E-4</v>
      </c>
      <c r="K37" s="31">
        <f t="shared" si="9"/>
        <v>-0.50378674427727932</v>
      </c>
      <c r="L37" s="31">
        <f t="shared" si="10"/>
        <v>2.6571569488278497</v>
      </c>
      <c r="M37" s="32">
        <f t="shared" si="11"/>
        <v>-2.0188430689852686</v>
      </c>
      <c r="N37" s="30">
        <f t="shared" si="12"/>
        <v>27028.988894124395</v>
      </c>
      <c r="O37" s="33">
        <f t="shared" si="13"/>
        <v>5</v>
      </c>
      <c r="P37" s="31">
        <f t="shared" si="13"/>
        <v>0</v>
      </c>
      <c r="Q37" s="31">
        <f t="shared" si="13"/>
        <v>0</v>
      </c>
      <c r="R37" s="31">
        <f t="shared" si="13"/>
        <v>0.41230158035440834</v>
      </c>
      <c r="S37" s="32">
        <f t="shared" si="13"/>
        <v>-0.964679979675378</v>
      </c>
      <c r="T37" s="34">
        <f t="shared" si="14"/>
        <v>-0.22310455691099884</v>
      </c>
      <c r="U37" s="35">
        <f t="shared" si="15"/>
        <v>6033.5811614905933</v>
      </c>
      <c r="V37" s="36">
        <f t="shared" si="16"/>
        <v>2.0976176963403033</v>
      </c>
      <c r="W37" s="14">
        <f t="shared" si="17"/>
        <v>0.99911097234254143</v>
      </c>
      <c r="X37" s="15">
        <f t="shared" si="18"/>
        <v>9.9942324331119603E-2</v>
      </c>
      <c r="Y37" s="35">
        <f t="shared" si="19"/>
        <v>21956.951805246023</v>
      </c>
      <c r="Z37" s="30">
        <f t="shared" si="43"/>
        <v>4400</v>
      </c>
      <c r="AA37" s="37">
        <f t="shared" si="20"/>
        <v>6077.3376208001428</v>
      </c>
      <c r="AB37" s="31">
        <f t="shared" si="21"/>
        <v>2.6227524323004729</v>
      </c>
      <c r="AC37" s="31">
        <f t="shared" si="22"/>
        <v>2.7014176905676407E-4</v>
      </c>
      <c r="AD37" s="31">
        <f t="shared" si="23"/>
        <v>1.0057585863344152</v>
      </c>
      <c r="AE37" s="31">
        <f t="shared" si="24"/>
        <v>-7.613302786052432</v>
      </c>
      <c r="AF37" s="31">
        <f t="shared" si="25"/>
        <v>1.0505332848696036</v>
      </c>
      <c r="AG37" s="37">
        <f t="shared" si="26"/>
        <v>20995.407732633801</v>
      </c>
      <c r="AH37" s="31">
        <f t="shared" si="27"/>
        <v>2.3772475676995266</v>
      </c>
      <c r="AI37" s="31">
        <f t="shared" si="28"/>
        <v>-2.7014176905676407E-4</v>
      </c>
      <c r="AJ37" s="31">
        <f t="shared" si="29"/>
        <v>-1.0057585863344152</v>
      </c>
      <c r="AK37" s="31">
        <f t="shared" si="30"/>
        <v>8.0256043664068404</v>
      </c>
      <c r="AL37" s="31">
        <f t="shared" si="31"/>
        <v>-2.0152132645449821</v>
      </c>
      <c r="AM37" s="37">
        <f t="shared" si="32"/>
        <v>27048.742270054903</v>
      </c>
      <c r="AN37" s="31">
        <f t="shared" si="33"/>
        <v>5</v>
      </c>
      <c r="AO37" s="31">
        <f t="shared" si="33"/>
        <v>0</v>
      </c>
      <c r="AP37" s="31">
        <f t="shared" si="33"/>
        <v>0</v>
      </c>
      <c r="AQ37" s="31">
        <f t="shared" si="33"/>
        <v>0.41230158035440834</v>
      </c>
      <c r="AR37" s="31">
        <f t="shared" si="33"/>
        <v>-0.96467997967537844</v>
      </c>
      <c r="AS37" s="38">
        <f t="shared" si="34"/>
        <v>-0.22310455691099884</v>
      </c>
      <c r="AT37" s="35">
        <f t="shared" si="35"/>
        <v>6053.3345374211031</v>
      </c>
      <c r="AU37" s="30">
        <v>4400</v>
      </c>
      <c r="AV37" s="37">
        <v>6140.1031859943259</v>
      </c>
      <c r="AW37" s="31">
        <v>2.6298848828907211</v>
      </c>
      <c r="AX37" s="31">
        <v>2.6933126330787229E-4</v>
      </c>
      <c r="AY37" s="31">
        <v>1.5041115166270427</v>
      </c>
      <c r="AZ37" s="31">
        <v>-16.517744174814279</v>
      </c>
      <c r="BA37" s="31">
        <v>1.0444981343701631</v>
      </c>
      <c r="BB37" s="37">
        <v>20995.407732633801</v>
      </c>
      <c r="BC37" s="31">
        <v>2.3701151171092789</v>
      </c>
      <c r="BD37" s="31">
        <v>-2.6933126330787229E-4</v>
      </c>
      <c r="BE37" s="31">
        <v>-1.5041115166270427</v>
      </c>
      <c r="BF37" s="31">
        <v>16.930045755168685</v>
      </c>
      <c r="BG37" s="31">
        <v>-2.0091781140455414</v>
      </c>
      <c r="BH37" s="37">
        <v>27081.585526096333</v>
      </c>
      <c r="BI37" s="31">
        <v>5</v>
      </c>
      <c r="BJ37" s="31">
        <v>0</v>
      </c>
      <c r="BK37" s="31">
        <v>0</v>
      </c>
      <c r="BL37" s="31">
        <v>0.41230158035440567</v>
      </c>
      <c r="BM37" s="31">
        <v>-0.96467997967537822</v>
      </c>
      <c r="BN37" s="38">
        <v>-0.22310455691099884</v>
      </c>
      <c r="BO37" s="35">
        <v>6086.1777934625334</v>
      </c>
      <c r="BP37" s="30">
        <v>4400</v>
      </c>
      <c r="BQ37" s="37">
        <v>6227.6587340357855</v>
      </c>
      <c r="BR37" s="31">
        <v>2.6398343769863413</v>
      </c>
      <c r="BS37" s="31">
        <v>2.6820063897882451E-4</v>
      </c>
      <c r="BT37" s="31">
        <v>1.997063219473096</v>
      </c>
      <c r="BU37" s="31">
        <v>-28.894129087674582</v>
      </c>
      <c r="BV37" s="31">
        <v>1.0360793316738688</v>
      </c>
      <c r="BW37" s="37">
        <v>20995.407732633801</v>
      </c>
      <c r="BX37" s="31">
        <v>2.3601656230136583</v>
      </c>
      <c r="BY37" s="31">
        <v>-2.6820063897882451E-4</v>
      </c>
      <c r="BZ37" s="31">
        <v>-1.997063219473096</v>
      </c>
      <c r="CA37" s="31">
        <v>29.306430668028991</v>
      </c>
      <c r="CB37" s="31">
        <v>-2.0007593113492472</v>
      </c>
      <c r="CC37" s="37">
        <v>27127.40060436858</v>
      </c>
      <c r="CD37" s="31">
        <v>5</v>
      </c>
      <c r="CE37" s="31">
        <v>0</v>
      </c>
      <c r="CF37" s="31">
        <v>0</v>
      </c>
      <c r="CG37" s="31">
        <v>0.41230158035440923</v>
      </c>
      <c r="CH37" s="31">
        <v>-0.96467997967537844</v>
      </c>
      <c r="CI37" s="38">
        <v>-0.22310455691099884</v>
      </c>
      <c r="CJ37" s="35">
        <v>6131.9928717347793</v>
      </c>
    </row>
    <row r="38" spans="1:88">
      <c r="A38" s="30">
        <f t="shared" si="42"/>
        <v>4600</v>
      </c>
      <c r="B38" s="30">
        <f t="shared" si="0"/>
        <v>6568.5731460292554</v>
      </c>
      <c r="C38" s="31">
        <f t="shared" si="1"/>
        <v>2.6708105358123126</v>
      </c>
      <c r="D38" s="31">
        <f t="shared" si="2"/>
        <v>2.5317276784648759E-4</v>
      </c>
      <c r="E38" s="31">
        <f t="shared" si="3"/>
        <v>0.51510920842612318</v>
      </c>
      <c r="F38" s="31">
        <f t="shared" si="4"/>
        <v>-2.3045387137402242</v>
      </c>
      <c r="G38" s="32">
        <f t="shared" si="5"/>
        <v>1.0994529459052658</v>
      </c>
      <c r="H38" s="30">
        <f t="shared" si="6"/>
        <v>21466.841358757985</v>
      </c>
      <c r="I38" s="31">
        <f t="shared" si="7"/>
        <v>2.3291894641876874</v>
      </c>
      <c r="J38" s="31">
        <f t="shared" si="8"/>
        <v>-2.5317276784648759E-4</v>
      </c>
      <c r="K38" s="31">
        <f t="shared" si="9"/>
        <v>-0.51510920842612318</v>
      </c>
      <c r="L38" s="31">
        <f t="shared" si="10"/>
        <v>2.7168402940946321</v>
      </c>
      <c r="M38" s="32">
        <f t="shared" si="11"/>
        <v>-2.064132925580644</v>
      </c>
      <c r="N38" s="30">
        <f t="shared" si="12"/>
        <v>28029.408011656677</v>
      </c>
      <c r="O38" s="33">
        <f t="shared" si="13"/>
        <v>5</v>
      </c>
      <c r="P38" s="31">
        <f t="shared" si="13"/>
        <v>0</v>
      </c>
      <c r="Q38" s="31">
        <f t="shared" si="13"/>
        <v>0</v>
      </c>
      <c r="R38" s="31">
        <f t="shared" si="13"/>
        <v>0.41230158035440789</v>
      </c>
      <c r="S38" s="32">
        <f t="shared" si="13"/>
        <v>-0.96467997967537822</v>
      </c>
      <c r="T38" s="34">
        <f t="shared" si="14"/>
        <v>-0.23401390751688511</v>
      </c>
      <c r="U38" s="35">
        <f t="shared" si="15"/>
        <v>6562.5666528986894</v>
      </c>
      <c r="V38" s="36">
        <f t="shared" si="16"/>
        <v>2.1447610589527217</v>
      </c>
      <c r="W38" s="14">
        <f t="shared" si="17"/>
        <v>0.99911097234254143</v>
      </c>
      <c r="X38" s="15">
        <f t="shared" si="18"/>
        <v>9.9942324331119603E-2</v>
      </c>
      <c r="Y38" s="35">
        <f t="shared" si="19"/>
        <v>22427.966313837922</v>
      </c>
      <c r="Z38" s="30">
        <f t="shared" si="43"/>
        <v>4600</v>
      </c>
      <c r="AA38" s="37">
        <f t="shared" si="20"/>
        <v>6607.1715319881096</v>
      </c>
      <c r="AB38" s="31">
        <f t="shared" si="21"/>
        <v>2.6750060125469708</v>
      </c>
      <c r="AC38" s="31">
        <f t="shared" si="22"/>
        <v>2.5271673776663343E-4</v>
      </c>
      <c r="AD38" s="31">
        <f t="shared" si="23"/>
        <v>1.0283627252196093</v>
      </c>
      <c r="AE38" s="31">
        <f t="shared" si="24"/>
        <v>-7.7936404639529391</v>
      </c>
      <c r="AF38" s="31">
        <f t="shared" si="25"/>
        <v>1.0957415626399913</v>
      </c>
      <c r="AG38" s="37">
        <f t="shared" si="26"/>
        <v>21466.841358757985</v>
      </c>
      <c r="AH38" s="31">
        <f t="shared" si="27"/>
        <v>2.3249939874530292</v>
      </c>
      <c r="AI38" s="31">
        <f t="shared" si="28"/>
        <v>-2.5271673776663343E-4</v>
      </c>
      <c r="AJ38" s="31">
        <f t="shared" si="29"/>
        <v>-1.0283627252196093</v>
      </c>
      <c r="AK38" s="31">
        <f t="shared" si="30"/>
        <v>8.2059420443073456</v>
      </c>
      <c r="AL38" s="31">
        <f t="shared" si="31"/>
        <v>-2.0604215423153693</v>
      </c>
      <c r="AM38" s="37">
        <f t="shared" si="32"/>
        <v>28050.009807367056</v>
      </c>
      <c r="AN38" s="31">
        <f t="shared" si="33"/>
        <v>5</v>
      </c>
      <c r="AO38" s="31">
        <f t="shared" si="33"/>
        <v>0</v>
      </c>
      <c r="AP38" s="31">
        <f t="shared" si="33"/>
        <v>0</v>
      </c>
      <c r="AQ38" s="31">
        <f t="shared" si="33"/>
        <v>0.41230158035440656</v>
      </c>
      <c r="AR38" s="31">
        <f t="shared" si="33"/>
        <v>-0.964679979675378</v>
      </c>
      <c r="AS38" s="38">
        <f t="shared" si="34"/>
        <v>-0.23401390751688511</v>
      </c>
      <c r="AT38" s="35">
        <f t="shared" si="35"/>
        <v>6583.1684486090699</v>
      </c>
      <c r="AU38" s="30">
        <v>4600</v>
      </c>
      <c r="AV38" s="37">
        <v>6671.3477354528768</v>
      </c>
      <c r="AW38" s="31">
        <v>2.6819816868366195</v>
      </c>
      <c r="AX38" s="31">
        <v>2.5195851230036726E-4</v>
      </c>
      <c r="AY38" s="31">
        <v>1.5379159962333966</v>
      </c>
      <c r="AZ38" s="31">
        <v>-16.898206646657851</v>
      </c>
      <c r="BA38" s="31">
        <v>1.0895707738453022</v>
      </c>
      <c r="BB38" s="37">
        <v>21466.841358757985</v>
      </c>
      <c r="BC38" s="31">
        <v>2.3180183131633805</v>
      </c>
      <c r="BD38" s="31">
        <v>-2.5195851230036726E-4</v>
      </c>
      <c r="BE38" s="31">
        <v>-1.5379159962333966</v>
      </c>
      <c r="BF38" s="31">
        <v>17.310508227012257</v>
      </c>
      <c r="BG38" s="31">
        <v>-2.0542507535206802</v>
      </c>
      <c r="BH38" s="37">
        <v>28084.263701679069</v>
      </c>
      <c r="BI38" s="31">
        <v>5</v>
      </c>
      <c r="BJ38" s="31">
        <v>0</v>
      </c>
      <c r="BK38" s="31">
        <v>0</v>
      </c>
      <c r="BL38" s="31">
        <v>0.41230158035440567</v>
      </c>
      <c r="BM38" s="31">
        <v>-0.964679979675378</v>
      </c>
      <c r="BN38" s="38">
        <v>-0.23401390751688511</v>
      </c>
      <c r="BO38" s="35">
        <v>6617.4223429210842</v>
      </c>
      <c r="BP38" s="30">
        <v>4600</v>
      </c>
      <c r="BQ38" s="37">
        <v>6760.8710695962818</v>
      </c>
      <c r="BR38" s="31">
        <v>2.6917124840261195</v>
      </c>
      <c r="BS38" s="31">
        <v>2.5090081695368241E-4</v>
      </c>
      <c r="BT38" s="31">
        <v>2.0419466487461251</v>
      </c>
      <c r="BU38" s="31">
        <v>-29.552747299144016</v>
      </c>
      <c r="BV38" s="31">
        <v>1.0809627609468979</v>
      </c>
      <c r="BW38" s="37">
        <v>21466.841358757985</v>
      </c>
      <c r="BX38" s="31">
        <v>2.30828751597388</v>
      </c>
      <c r="BY38" s="31">
        <v>-2.5090081695368241E-4</v>
      </c>
      <c r="BZ38" s="31">
        <v>-2.0419466487461251</v>
      </c>
      <c r="CA38" s="31">
        <v>29.965048879498426</v>
      </c>
      <c r="CB38" s="31">
        <v>-2.0456427406222759</v>
      </c>
      <c r="CC38" s="37">
        <v>28132.046566053257</v>
      </c>
      <c r="CD38" s="31">
        <v>5</v>
      </c>
      <c r="CE38" s="31">
        <v>0</v>
      </c>
      <c r="CF38" s="31">
        <v>0</v>
      </c>
      <c r="CG38" s="31">
        <v>0.41230158035440923</v>
      </c>
      <c r="CH38" s="31">
        <v>-0.964679979675378</v>
      </c>
      <c r="CI38" s="38">
        <v>-0.23401390751688511</v>
      </c>
      <c r="CJ38" s="35">
        <v>6665.2052072952756</v>
      </c>
    </row>
    <row r="39" spans="1:88">
      <c r="A39" s="30">
        <f t="shared" si="42"/>
        <v>4800</v>
      </c>
      <c r="B39" s="30">
        <f t="shared" si="0"/>
        <v>7107.6915364387805</v>
      </c>
      <c r="C39" s="31">
        <f t="shared" si="1"/>
        <v>2.7198515958211247</v>
      </c>
      <c r="D39" s="31">
        <f t="shared" si="2"/>
        <v>2.3751545876863275E-4</v>
      </c>
      <c r="E39" s="31">
        <f t="shared" si="3"/>
        <v>0.52618809327204819</v>
      </c>
      <c r="F39" s="31">
        <f t="shared" si="4"/>
        <v>-2.3629380957773733</v>
      </c>
      <c r="G39" s="32">
        <f t="shared" si="5"/>
        <v>1.1437684852889656</v>
      </c>
      <c r="H39" s="30">
        <f t="shared" si="6"/>
        <v>21928.133069437412</v>
      </c>
      <c r="I39" s="31">
        <f t="shared" si="7"/>
        <v>2.2801484041788753</v>
      </c>
      <c r="J39" s="31">
        <f t="shared" si="8"/>
        <v>-2.3751545876863275E-4</v>
      </c>
      <c r="K39" s="31">
        <f t="shared" si="9"/>
        <v>-0.52618809327204819</v>
      </c>
      <c r="L39" s="31">
        <f t="shared" si="10"/>
        <v>2.7752396761317812</v>
      </c>
      <c r="M39" s="32">
        <f t="shared" si="11"/>
        <v>-2.1084484649643436</v>
      </c>
      <c r="N39" s="30">
        <f t="shared" si="12"/>
        <v>29029.81811274563</v>
      </c>
      <c r="O39" s="33">
        <f t="shared" si="13"/>
        <v>5</v>
      </c>
      <c r="P39" s="31">
        <f t="shared" si="13"/>
        <v>0</v>
      </c>
      <c r="Q39" s="31">
        <f t="shared" si="13"/>
        <v>0</v>
      </c>
      <c r="R39" s="31">
        <f t="shared" si="13"/>
        <v>0.41230158035440789</v>
      </c>
      <c r="S39" s="32">
        <f t="shared" si="13"/>
        <v>-0.964679979675378</v>
      </c>
      <c r="T39" s="34">
        <f t="shared" si="14"/>
        <v>-0.24452061033770189</v>
      </c>
      <c r="U39" s="35">
        <f t="shared" si="15"/>
        <v>7101.6850433082145</v>
      </c>
      <c r="V39" s="36">
        <f t="shared" si="16"/>
        <v>2.1908902300206643</v>
      </c>
      <c r="W39" s="14">
        <f t="shared" si="17"/>
        <v>0.99911097234254143</v>
      </c>
      <c r="X39" s="15">
        <f t="shared" si="18"/>
        <v>9.9942324331119603E-2</v>
      </c>
      <c r="Y39" s="35">
        <f t="shared" si="19"/>
        <v>22888.847923428399</v>
      </c>
      <c r="Z39" s="30">
        <f t="shared" si="43"/>
        <v>4800</v>
      </c>
      <c r="AA39" s="37">
        <f t="shared" si="20"/>
        <v>7147.1200901878437</v>
      </c>
      <c r="AB39" s="31">
        <f t="shared" si="21"/>
        <v>2.7239587368366527</v>
      </c>
      <c r="AC39" s="31">
        <f t="shared" si="22"/>
        <v>2.3708763157951528E-4</v>
      </c>
      <c r="AD39" s="31">
        <f t="shared" si="23"/>
        <v>1.0504805829984682</v>
      </c>
      <c r="AE39" s="31">
        <f t="shared" si="24"/>
        <v>-7.9700985512187934</v>
      </c>
      <c r="AF39" s="31">
        <f t="shared" si="25"/>
        <v>1.1399772781977093</v>
      </c>
      <c r="AG39" s="37">
        <f t="shared" si="26"/>
        <v>21928.133069437412</v>
      </c>
      <c r="AH39" s="31">
        <f t="shared" si="27"/>
        <v>2.2760412631633478</v>
      </c>
      <c r="AI39" s="31">
        <f t="shared" si="28"/>
        <v>-2.3708763157951528E-4</v>
      </c>
      <c r="AJ39" s="31">
        <f t="shared" si="29"/>
        <v>-1.0504805829984682</v>
      </c>
      <c r="AK39" s="31">
        <f t="shared" si="30"/>
        <v>8.3824001315732009</v>
      </c>
      <c r="AL39" s="31">
        <f t="shared" si="31"/>
        <v>-2.1046572578730873</v>
      </c>
      <c r="AM39" s="37">
        <f t="shared" si="32"/>
        <v>29051.250076246215</v>
      </c>
      <c r="AN39" s="31">
        <f t="shared" si="33"/>
        <v>5</v>
      </c>
      <c r="AO39" s="31">
        <f t="shared" si="33"/>
        <v>0</v>
      </c>
      <c r="AP39" s="31">
        <f t="shared" si="33"/>
        <v>0</v>
      </c>
      <c r="AQ39" s="31">
        <f t="shared" si="33"/>
        <v>0.41230158035440745</v>
      </c>
      <c r="AR39" s="31">
        <f t="shared" si="33"/>
        <v>-0.964679979675378</v>
      </c>
      <c r="AS39" s="38">
        <f t="shared" si="34"/>
        <v>-0.24452061033770189</v>
      </c>
      <c r="AT39" s="35">
        <f t="shared" si="35"/>
        <v>7123.117006808804</v>
      </c>
      <c r="AU39" s="30">
        <v>4800</v>
      </c>
      <c r="AV39" s="37">
        <v>7212.6765849702679</v>
      </c>
      <c r="AW39" s="31">
        <v>2.7307875383764881</v>
      </c>
      <c r="AX39" s="31">
        <v>2.3637629808578235E-4</v>
      </c>
      <c r="AY39" s="31">
        <v>1.5709932426624309</v>
      </c>
      <c r="AZ39" s="31">
        <v>-17.270484258522156</v>
      </c>
      <c r="BA39" s="31">
        <v>1.1336737690840146</v>
      </c>
      <c r="BB39" s="37">
        <v>21928.133069437412</v>
      </c>
      <c r="BC39" s="31">
        <v>2.2692124616235114</v>
      </c>
      <c r="BD39" s="31">
        <v>-2.3637629808578235E-4</v>
      </c>
      <c r="BE39" s="31">
        <v>-1.5709932426624309</v>
      </c>
      <c r="BF39" s="31">
        <v>17.682785838876566</v>
      </c>
      <c r="BG39" s="31">
        <v>-2.0983537487593922</v>
      </c>
      <c r="BH39" s="37">
        <v>29086.884261875886</v>
      </c>
      <c r="BI39" s="31">
        <v>5</v>
      </c>
      <c r="BJ39" s="31">
        <v>0</v>
      </c>
      <c r="BK39" s="31">
        <v>0</v>
      </c>
      <c r="BL39" s="31">
        <v>0.41230158035440923</v>
      </c>
      <c r="BM39" s="31">
        <v>-0.96467997967537755</v>
      </c>
      <c r="BN39" s="38">
        <v>-0.24452061033770189</v>
      </c>
      <c r="BO39" s="35">
        <v>7158.7511924384753</v>
      </c>
      <c r="BP39" s="30">
        <v>4800</v>
      </c>
      <c r="BQ39" s="37">
        <v>7304.1253723841137</v>
      </c>
      <c r="BR39" s="31">
        <v>2.7403134537320972</v>
      </c>
      <c r="BS39" s="31">
        <v>2.3538401523623978E-4</v>
      </c>
      <c r="BT39" s="31">
        <v>2.0858645042472954</v>
      </c>
      <c r="BU39" s="31">
        <v>-30.197196707539263</v>
      </c>
      <c r="BV39" s="31">
        <v>1.1248806164480682</v>
      </c>
      <c r="BW39" s="37">
        <v>21928.133069437412</v>
      </c>
      <c r="BX39" s="31">
        <v>2.2596865462679028</v>
      </c>
      <c r="BY39" s="31">
        <v>-2.3538401523623978E-4</v>
      </c>
      <c r="BZ39" s="31">
        <v>-2.0858645042472954</v>
      </c>
      <c r="CA39" s="31">
        <v>30.609498287893672</v>
      </c>
      <c r="CB39" s="31">
        <v>-2.0895605961234458</v>
      </c>
      <c r="CC39" s="37">
        <v>29136.592579520518</v>
      </c>
      <c r="CD39" s="31">
        <v>5</v>
      </c>
      <c r="CE39" s="31">
        <v>0</v>
      </c>
      <c r="CF39" s="31">
        <v>0</v>
      </c>
      <c r="CG39" s="31">
        <v>0.41230158035440923</v>
      </c>
      <c r="CH39" s="31">
        <v>-0.96467997967537755</v>
      </c>
      <c r="CI39" s="38">
        <v>-0.24452061033770189</v>
      </c>
      <c r="CJ39" s="35">
        <v>7208.4595100831075</v>
      </c>
    </row>
    <row r="40" spans="1:88">
      <c r="A40" s="30">
        <f t="shared" si="42"/>
        <v>5000</v>
      </c>
      <c r="B40" s="30">
        <f t="shared" si="0"/>
        <v>7656.3157043176307</v>
      </c>
      <c r="C40" s="31">
        <f t="shared" si="1"/>
        <v>2.7659199487761654</v>
      </c>
      <c r="D40" s="31">
        <f t="shared" si="2"/>
        <v>2.2340800512238345E-4</v>
      </c>
      <c r="E40" s="31">
        <f t="shared" si="3"/>
        <v>0.53703847385188341</v>
      </c>
      <c r="F40" s="31">
        <f t="shared" si="4"/>
        <v>-2.4201329786146415</v>
      </c>
      <c r="G40" s="32">
        <f t="shared" si="5"/>
        <v>1.1871700076083069</v>
      </c>
      <c r="H40" s="30">
        <f t="shared" si="6"/>
        <v>22379.910544228667</v>
      </c>
      <c r="I40" s="31">
        <f t="shared" si="7"/>
        <v>2.234080051223835</v>
      </c>
      <c r="J40" s="31">
        <f t="shared" si="8"/>
        <v>-2.2340800512238345E-4</v>
      </c>
      <c r="K40" s="31">
        <f t="shared" si="9"/>
        <v>-0.53703847385188341</v>
      </c>
      <c r="L40" s="31">
        <f t="shared" si="10"/>
        <v>2.8324345589690498</v>
      </c>
      <c r="M40" s="32">
        <f t="shared" si="11"/>
        <v>-2.1518499872836845</v>
      </c>
      <c r="N40" s="30">
        <f t="shared" si="12"/>
        <v>30030.219755415736</v>
      </c>
      <c r="O40" s="33">
        <f t="shared" si="13"/>
        <v>5</v>
      </c>
      <c r="P40" s="31">
        <f t="shared" si="13"/>
        <v>0</v>
      </c>
      <c r="Q40" s="31">
        <f t="shared" si="13"/>
        <v>0</v>
      </c>
      <c r="R40" s="31">
        <f t="shared" si="13"/>
        <v>0.41230158035440834</v>
      </c>
      <c r="S40" s="32">
        <f t="shared" si="13"/>
        <v>-0.96467997967537755</v>
      </c>
      <c r="T40" s="34">
        <f t="shared" si="14"/>
        <v>-0.2546440075000701</v>
      </c>
      <c r="U40" s="35">
        <f t="shared" si="15"/>
        <v>7650.3092111870646</v>
      </c>
      <c r="V40" s="36">
        <f t="shared" si="16"/>
        <v>2.2360679774997898</v>
      </c>
      <c r="W40" s="14">
        <f t="shared" si="17"/>
        <v>0.99911097234254143</v>
      </c>
      <c r="X40" s="15">
        <f t="shared" si="18"/>
        <v>9.9942324331119603E-2</v>
      </c>
      <c r="Y40" s="35">
        <f t="shared" si="19"/>
        <v>23340.223755549549</v>
      </c>
      <c r="Z40" s="30">
        <f t="shared" si="43"/>
        <v>5000</v>
      </c>
      <c r="AA40" s="37">
        <f t="shared" si="20"/>
        <v>7696.5573034764257</v>
      </c>
      <c r="AB40" s="31">
        <f t="shared" si="21"/>
        <v>2.7699441086920453</v>
      </c>
      <c r="AC40" s="31">
        <f t="shared" si="22"/>
        <v>2.2300558913079547E-4</v>
      </c>
      <c r="AD40" s="31">
        <f t="shared" si="23"/>
        <v>1.072142255436517</v>
      </c>
      <c r="AE40" s="31">
        <f t="shared" si="24"/>
        <v>-8.1429171543409833</v>
      </c>
      <c r="AF40" s="31">
        <f t="shared" si="25"/>
        <v>1.1833006230738072</v>
      </c>
      <c r="AG40" s="37">
        <f t="shared" si="26"/>
        <v>22379.910544228667</v>
      </c>
      <c r="AH40" s="31">
        <f t="shared" si="27"/>
        <v>2.2300558913079556</v>
      </c>
      <c r="AI40" s="31">
        <f t="shared" si="28"/>
        <v>-2.2300558913079547E-4</v>
      </c>
      <c r="AJ40" s="31">
        <f t="shared" si="29"/>
        <v>-1.072142255436517</v>
      </c>
      <c r="AK40" s="31">
        <f t="shared" si="30"/>
        <v>8.5552187346953907</v>
      </c>
      <c r="AL40" s="31">
        <f t="shared" si="31"/>
        <v>-2.1479806027491848</v>
      </c>
      <c r="AM40" s="37">
        <f t="shared" si="32"/>
        <v>30052.46476432605</v>
      </c>
      <c r="AN40" s="31">
        <f t="shared" si="33"/>
        <v>5.0000000000000009</v>
      </c>
      <c r="AO40" s="31">
        <f t="shared" si="33"/>
        <v>0</v>
      </c>
      <c r="AP40" s="31">
        <f t="shared" si="33"/>
        <v>0</v>
      </c>
      <c r="AQ40" s="31">
        <f t="shared" si="33"/>
        <v>0.41230158035440745</v>
      </c>
      <c r="AR40" s="31">
        <f t="shared" si="33"/>
        <v>-0.96467997967537755</v>
      </c>
      <c r="AS40" s="38">
        <f t="shared" si="34"/>
        <v>-0.2546440075000701</v>
      </c>
      <c r="AT40" s="35">
        <f t="shared" si="35"/>
        <v>7672.554220097386</v>
      </c>
      <c r="AU40" s="30">
        <v>5000</v>
      </c>
      <c r="AV40" s="37">
        <v>7763.4656207857497</v>
      </c>
      <c r="AW40" s="31">
        <v>2.7766349404229769</v>
      </c>
      <c r="AX40" s="31">
        <v>2.2233650595770228E-4</v>
      </c>
      <c r="AY40" s="31">
        <v>1.6033882641180455</v>
      </c>
      <c r="AZ40" s="31">
        <v>-17.635083568493844</v>
      </c>
      <c r="BA40" s="31">
        <v>1.1768671310248338</v>
      </c>
      <c r="BB40" s="37">
        <v>22379.910544228667</v>
      </c>
      <c r="BC40" s="31">
        <v>2.2233650595770231</v>
      </c>
      <c r="BD40" s="31">
        <v>-2.2233650595770228E-4</v>
      </c>
      <c r="BE40" s="31">
        <v>-1.6033882641180455</v>
      </c>
      <c r="BF40" s="31">
        <v>18.04738514884825</v>
      </c>
      <c r="BG40" s="31">
        <v>-2.1415471107002118</v>
      </c>
      <c r="BH40" s="37">
        <v>30089.450772482622</v>
      </c>
      <c r="BI40" s="31">
        <v>5</v>
      </c>
      <c r="BJ40" s="31">
        <v>0</v>
      </c>
      <c r="BK40" s="31">
        <v>0</v>
      </c>
      <c r="BL40" s="31">
        <v>0.41230158035440567</v>
      </c>
      <c r="BM40" s="31">
        <v>-0.964679979675378</v>
      </c>
      <c r="BN40" s="38">
        <v>-0.2546440075000701</v>
      </c>
      <c r="BO40" s="35">
        <v>7709.5402282539571</v>
      </c>
      <c r="BP40" s="30">
        <v>5000</v>
      </c>
      <c r="BQ40" s="37">
        <v>7856.8001486024832</v>
      </c>
      <c r="BR40" s="31">
        <v>2.7859683932046511</v>
      </c>
      <c r="BS40" s="31">
        <v>2.214031606795349E-4</v>
      </c>
      <c r="BT40" s="31">
        <v>2.1288765449955287</v>
      </c>
      <c r="BU40" s="31">
        <v>-30.828354215066767</v>
      </c>
      <c r="BV40" s="31">
        <v>1.1678926571963018</v>
      </c>
      <c r="BW40" s="37">
        <v>22379.910544228667</v>
      </c>
      <c r="BX40" s="31">
        <v>2.2140316067953498</v>
      </c>
      <c r="BY40" s="31">
        <v>-2.214031606795349E-4</v>
      </c>
      <c r="BZ40" s="31">
        <v>-2.1288765449955287</v>
      </c>
      <c r="CA40" s="31">
        <v>31.240655795421176</v>
      </c>
      <c r="CB40" s="31">
        <v>-2.13257263687168</v>
      </c>
      <c r="CC40" s="37">
        <v>30141.044830530143</v>
      </c>
      <c r="CD40" s="31">
        <v>5.0000000000000009</v>
      </c>
      <c r="CE40" s="31">
        <v>0</v>
      </c>
      <c r="CF40" s="31">
        <v>0</v>
      </c>
      <c r="CG40" s="31">
        <v>0.41230158035440923</v>
      </c>
      <c r="CH40" s="31">
        <v>-0.96467997967537822</v>
      </c>
      <c r="CI40" s="38">
        <v>-0.2546440075000701</v>
      </c>
      <c r="CJ40" s="35">
        <v>7761.134286301477</v>
      </c>
    </row>
    <row r="41" spans="1:88">
      <c r="A41" s="40">
        <f t="shared" si="42"/>
        <v>5200</v>
      </c>
      <c r="B41" s="40">
        <f t="shared" si="0"/>
        <v>8213.8806643185762</v>
      </c>
      <c r="C41" s="41">
        <f t="shared" si="1"/>
        <v>2.8093042738233263</v>
      </c>
      <c r="D41" s="41">
        <f t="shared" si="2"/>
        <v>2.1064381982467993E-4</v>
      </c>
      <c r="E41" s="41">
        <f t="shared" si="3"/>
        <v>0.54767393154416844</v>
      </c>
      <c r="F41" s="41">
        <f t="shared" si="4"/>
        <v>-2.4761949528610976</v>
      </c>
      <c r="G41" s="42">
        <f t="shared" si="5"/>
        <v>1.2297118383774468</v>
      </c>
      <c r="H41" s="40">
        <f t="shared" si="6"/>
        <v>22822.73927121353</v>
      </c>
      <c r="I41" s="41">
        <f t="shared" si="7"/>
        <v>2.1906957261766733</v>
      </c>
      <c r="J41" s="41">
        <f t="shared" si="8"/>
        <v>-2.1064381982467993E-4</v>
      </c>
      <c r="K41" s="41">
        <f t="shared" si="9"/>
        <v>-0.54767393154416844</v>
      </c>
      <c r="L41" s="41">
        <f t="shared" si="10"/>
        <v>2.8884965332155059</v>
      </c>
      <c r="M41" s="42">
        <f t="shared" si="11"/>
        <v>-2.194391818052825</v>
      </c>
      <c r="N41" s="40">
        <f t="shared" si="12"/>
        <v>31030.613442401544</v>
      </c>
      <c r="O41" s="43">
        <f t="shared" si="13"/>
        <v>5</v>
      </c>
      <c r="P41" s="41">
        <f t="shared" si="13"/>
        <v>0</v>
      </c>
      <c r="Q41" s="41">
        <f t="shared" si="13"/>
        <v>0</v>
      </c>
      <c r="R41" s="41">
        <f t="shared" si="13"/>
        <v>0.41230158035440834</v>
      </c>
      <c r="S41" s="42">
        <f t="shared" si="13"/>
        <v>-0.96467997967537822</v>
      </c>
      <c r="T41" s="44">
        <f t="shared" si="14"/>
        <v>-0.26440295154894322</v>
      </c>
      <c r="U41" s="45">
        <f t="shared" si="15"/>
        <v>8207.8741711880102</v>
      </c>
      <c r="V41" s="46">
        <f t="shared" si="16"/>
        <v>2.2803508501982761</v>
      </c>
      <c r="W41" s="47">
        <f t="shared" si="17"/>
        <v>0.99911097234254143</v>
      </c>
      <c r="X41" s="48">
        <f t="shared" si="18"/>
        <v>9.9942324331119603E-2</v>
      </c>
      <c r="Y41" s="45">
        <f t="shared" si="19"/>
        <v>23782.658795548603</v>
      </c>
      <c r="Z41" s="40">
        <f t="shared" si="43"/>
        <v>5200</v>
      </c>
      <c r="AA41" s="49">
        <f t="shared" si="20"/>
        <v>8254.9192041923507</v>
      </c>
      <c r="AB41" s="41">
        <f t="shared" si="21"/>
        <v>2.8132502872727287</v>
      </c>
      <c r="AC41" s="41">
        <f t="shared" si="22"/>
        <v>2.1026439545454516E-4</v>
      </c>
      <c r="AD41" s="41">
        <f t="shared" si="23"/>
        <v>1.0933748563636361</v>
      </c>
      <c r="AE41" s="41">
        <f t="shared" si="24"/>
        <v>-8.3123125896828203</v>
      </c>
      <c r="AF41" s="41">
        <f t="shared" si="25"/>
        <v>1.2257658249280452</v>
      </c>
      <c r="AG41" s="49">
        <f t="shared" si="26"/>
        <v>22822.73927121353</v>
      </c>
      <c r="AH41" s="41">
        <f t="shared" si="27"/>
        <v>2.1867497127272717</v>
      </c>
      <c r="AI41" s="41">
        <f t="shared" si="28"/>
        <v>-2.1026439545454516E-4</v>
      </c>
      <c r="AJ41" s="41">
        <f t="shared" si="29"/>
        <v>-1.0933748563636361</v>
      </c>
      <c r="AK41" s="41">
        <f t="shared" si="30"/>
        <v>8.7246141700372277</v>
      </c>
      <c r="AL41" s="41">
        <f t="shared" si="31"/>
        <v>-2.1904458046034234</v>
      </c>
      <c r="AM41" s="49">
        <f t="shared" si="32"/>
        <v>31053.655392026838</v>
      </c>
      <c r="AN41" s="41">
        <f t="shared" si="33"/>
        <v>5</v>
      </c>
      <c r="AO41" s="41">
        <f t="shared" si="33"/>
        <v>0</v>
      </c>
      <c r="AP41" s="41">
        <f t="shared" si="33"/>
        <v>0</v>
      </c>
      <c r="AQ41" s="41">
        <f t="shared" si="33"/>
        <v>0.41230158035440745</v>
      </c>
      <c r="AR41" s="41">
        <f t="shared" si="33"/>
        <v>-0.96467997967537822</v>
      </c>
      <c r="AS41" s="50">
        <f t="shared" si="34"/>
        <v>-0.26440295154894322</v>
      </c>
      <c r="AT41" s="45">
        <f t="shared" si="35"/>
        <v>8230.9161208133119</v>
      </c>
      <c r="AU41" s="40">
        <v>5200</v>
      </c>
      <c r="AV41" s="49">
        <v>8323.152567308729</v>
      </c>
      <c r="AW41" s="41">
        <v>2.8198111875723799</v>
      </c>
      <c r="AX41" s="41">
        <v>2.0963353965650173E-4</v>
      </c>
      <c r="AY41" s="41">
        <v>1.6351416093207152</v>
      </c>
      <c r="AZ41" s="41">
        <v>-17.99246094408992</v>
      </c>
      <c r="BA41" s="41">
        <v>1.2192049246283936</v>
      </c>
      <c r="BB41" s="49">
        <v>22822.73927121353</v>
      </c>
      <c r="BC41" s="41">
        <v>2.1801888124276201</v>
      </c>
      <c r="BD41" s="41">
        <v>-2.0963353965650173E-4</v>
      </c>
      <c r="BE41" s="41">
        <v>-1.6351416093207152</v>
      </c>
      <c r="BF41" s="41">
        <v>18.404762524444326</v>
      </c>
      <c r="BG41" s="41">
        <v>-2.1838849043037718</v>
      </c>
      <c r="BH41" s="49">
        <v>31091.966445990463</v>
      </c>
      <c r="BI41" s="41">
        <v>5</v>
      </c>
      <c r="BJ41" s="41">
        <v>0</v>
      </c>
      <c r="BK41" s="41">
        <v>0</v>
      </c>
      <c r="BL41" s="41">
        <v>0.41230158035440567</v>
      </c>
      <c r="BM41" s="41">
        <v>-0.96467997967537822</v>
      </c>
      <c r="BN41" s="50">
        <v>-0.26440295154894322</v>
      </c>
      <c r="BO41" s="45">
        <v>8269.2271747769355</v>
      </c>
      <c r="BP41" s="40">
        <v>5200</v>
      </c>
      <c r="BQ41" s="49">
        <v>8418.3354830346289</v>
      </c>
      <c r="BR41" s="41">
        <v>2.8289633910075631</v>
      </c>
      <c r="BS41" s="41">
        <v>2.0875352009542644E-4</v>
      </c>
      <c r="BT41" s="41">
        <v>2.1710366089924378</v>
      </c>
      <c r="BU41" s="41">
        <v>-31.447009839087169</v>
      </c>
      <c r="BV41" s="41">
        <v>1.2100527211932108</v>
      </c>
      <c r="BW41" s="49">
        <v>22822.73927121353</v>
      </c>
      <c r="BX41" s="41">
        <v>2.1710366089924373</v>
      </c>
      <c r="BY41" s="41">
        <v>-2.0875352009542644E-4</v>
      </c>
      <c r="BZ41" s="41">
        <v>-2.1710366089924378</v>
      </c>
      <c r="CA41" s="41">
        <v>31.859311419441575</v>
      </c>
      <c r="CB41" s="41">
        <v>-2.1747327008685891</v>
      </c>
      <c r="CC41" s="49">
        <v>31145.408891947151</v>
      </c>
      <c r="CD41" s="41">
        <v>5</v>
      </c>
      <c r="CE41" s="41">
        <v>0</v>
      </c>
      <c r="CF41" s="41">
        <v>0</v>
      </c>
      <c r="CG41" s="41">
        <v>0.41230158035440567</v>
      </c>
      <c r="CH41" s="41">
        <v>-0.96467997967537822</v>
      </c>
      <c r="CI41" s="50">
        <v>-0.26440295154894322</v>
      </c>
      <c r="CJ41" s="45">
        <v>8322.6696207336227</v>
      </c>
    </row>
    <row r="43" spans="1:88">
      <c r="B43" s="10"/>
      <c r="E43" s="10"/>
      <c r="U43" s="51"/>
      <c r="V43" s="51"/>
      <c r="W43" s="51"/>
      <c r="X43" s="51"/>
      <c r="Y43" s="51"/>
      <c r="Z43" s="52"/>
    </row>
    <row r="44" spans="1:88" ht="54">
      <c r="A44" s="53"/>
      <c r="B44" s="6" t="s">
        <v>44</v>
      </c>
      <c r="C44" s="6"/>
      <c r="D44" s="6"/>
      <c r="E44" s="7"/>
      <c r="G44" s="53"/>
      <c r="H44" s="6" t="s">
        <v>49</v>
      </c>
      <c r="I44" s="6"/>
      <c r="J44" s="6"/>
      <c r="K44" s="7"/>
      <c r="M44" s="53"/>
      <c r="N44" s="6" t="s">
        <v>46</v>
      </c>
      <c r="O44" s="6"/>
      <c r="P44" s="6"/>
      <c r="Q44" s="7"/>
      <c r="S44" s="53"/>
      <c r="T44" s="6" t="s">
        <v>51</v>
      </c>
      <c r="U44" s="6"/>
      <c r="V44" s="6"/>
      <c r="W44" s="6"/>
      <c r="X44" s="6"/>
      <c r="Y44" s="6"/>
      <c r="Z44" s="6"/>
      <c r="AA44" s="7"/>
      <c r="AK44" s="1" t="s">
        <v>9</v>
      </c>
      <c r="AL44" s="2" t="s">
        <v>1</v>
      </c>
      <c r="AM44" s="3" t="s">
        <v>2</v>
      </c>
      <c r="AN44" s="3" t="s">
        <v>3</v>
      </c>
      <c r="AO44" s="3" t="s">
        <v>10</v>
      </c>
      <c r="AP44" s="3" t="s">
        <v>11</v>
      </c>
      <c r="AQ44" s="3" t="s">
        <v>6</v>
      </c>
      <c r="AR44" s="3" t="s">
        <v>7</v>
      </c>
      <c r="AS44" s="4" t="s">
        <v>8</v>
      </c>
    </row>
    <row r="45" spans="1:88">
      <c r="A45" s="54"/>
      <c r="B45" s="14" t="s">
        <v>13</v>
      </c>
      <c r="C45" s="55" t="s">
        <v>14</v>
      </c>
      <c r="D45" s="55" t="s">
        <v>15</v>
      </c>
      <c r="E45" s="56" t="s">
        <v>16</v>
      </c>
      <c r="G45" s="54"/>
      <c r="H45" s="14" t="s">
        <v>13</v>
      </c>
      <c r="I45" s="55" t="s">
        <v>14</v>
      </c>
      <c r="J45" s="55" t="s">
        <v>15</v>
      </c>
      <c r="K45" s="56" t="s">
        <v>16</v>
      </c>
      <c r="M45" s="54"/>
      <c r="N45" s="14" t="s">
        <v>13</v>
      </c>
      <c r="O45" s="55" t="s">
        <v>14</v>
      </c>
      <c r="P45" s="55" t="s">
        <v>15</v>
      </c>
      <c r="Q45" s="56" t="s">
        <v>16</v>
      </c>
      <c r="S45" s="54"/>
      <c r="T45" s="14" t="s">
        <v>13</v>
      </c>
      <c r="U45" s="55" t="s">
        <v>14</v>
      </c>
      <c r="V45" s="55"/>
      <c r="W45" s="55"/>
      <c r="X45" s="55"/>
      <c r="Y45" s="55"/>
      <c r="Z45" s="55" t="s">
        <v>15</v>
      </c>
      <c r="AA45" s="56" t="s">
        <v>16</v>
      </c>
      <c r="AK45" s="57">
        <v>0.03</v>
      </c>
      <c r="AL45" s="58">
        <v>0.5</v>
      </c>
      <c r="AM45" s="59">
        <v>10000</v>
      </c>
      <c r="AN45" s="59">
        <v>1</v>
      </c>
      <c r="AO45" s="59">
        <f>1/52</f>
        <v>1.9230769230769232E-2</v>
      </c>
      <c r="AP45" s="59">
        <v>1000</v>
      </c>
      <c r="AQ45" s="60">
        <f>(AM45/2/AP45)*(AM45/2)</f>
        <v>25000</v>
      </c>
      <c r="AR45" s="58">
        <v>0.1</v>
      </c>
      <c r="AS45" s="61">
        <f>AN45/52</f>
        <v>1.9230769230769232E-2</v>
      </c>
    </row>
    <row r="46" spans="1:88">
      <c r="A46" s="62">
        <v>10</v>
      </c>
      <c r="B46" s="31">
        <v>-44.955548617127072</v>
      </c>
      <c r="C46" s="31">
        <v>-44.865565665884695</v>
      </c>
      <c r="D46" s="31">
        <v>-44.715954120120927</v>
      </c>
      <c r="E46" s="32">
        <v>-44.507251771274873</v>
      </c>
      <c r="G46" s="62">
        <v>10</v>
      </c>
      <c r="H46" s="31">
        <v>49.955548617127072</v>
      </c>
      <c r="I46" s="31">
        <v>49.865565665884702</v>
      </c>
      <c r="J46" s="31">
        <v>49.715954120120934</v>
      </c>
      <c r="K46" s="32">
        <v>49.507251771274866</v>
      </c>
      <c r="M46" s="62">
        <v>10</v>
      </c>
      <c r="N46" s="31">
        <v>2.4017090681311096E-2</v>
      </c>
      <c r="O46" s="31">
        <v>4.794765929411992E-2</v>
      </c>
      <c r="P46" s="31">
        <v>7.1705703057866735E-2</v>
      </c>
      <c r="Q46" s="32">
        <v>9.5206253406297833E-2</v>
      </c>
      <c r="S46" s="62">
        <v>10</v>
      </c>
      <c r="T46" s="31">
        <v>-2.4017090681311096E-2</v>
      </c>
      <c r="U46" s="31">
        <v>-4.794765929411992E-2</v>
      </c>
      <c r="V46" s="31"/>
      <c r="W46" s="31"/>
      <c r="X46" s="31"/>
      <c r="Y46" s="31"/>
      <c r="Z46" s="31">
        <v>-7.1705703057866735E-2</v>
      </c>
      <c r="AA46" s="32">
        <v>-9.5206253406297833E-2</v>
      </c>
      <c r="AK46" s="16"/>
      <c r="AL46" s="6"/>
      <c r="AM46" s="6"/>
      <c r="AN46" s="6"/>
      <c r="AO46" s="6"/>
      <c r="AP46" s="6"/>
      <c r="AQ46" s="6"/>
      <c r="AR46" s="6"/>
      <c r="AS46" s="7"/>
    </row>
    <row r="47" spans="1:88" ht="54">
      <c r="A47" s="62">
        <v>22.857142857142858</v>
      </c>
      <c r="B47" s="31">
        <v>-28.042489562178716</v>
      </c>
      <c r="C47" s="31">
        <v>-27.982971434372974</v>
      </c>
      <c r="D47" s="31">
        <v>-27.884012698534253</v>
      </c>
      <c r="E47" s="32">
        <v>-27.745969070263818</v>
      </c>
      <c r="G47" s="62">
        <v>22.857142857142858</v>
      </c>
      <c r="H47" s="31">
        <v>33.042489562178716</v>
      </c>
      <c r="I47" s="31">
        <v>32.982971434372978</v>
      </c>
      <c r="J47" s="31">
        <v>32.884012698534256</v>
      </c>
      <c r="K47" s="32">
        <v>32.745969070263818</v>
      </c>
      <c r="M47" s="62">
        <v>22.857142857142858</v>
      </c>
      <c r="N47" s="31">
        <v>3.6310428090306275E-2</v>
      </c>
      <c r="O47" s="31">
        <v>7.2490047108512035E-2</v>
      </c>
      <c r="P47" s="31">
        <v>0.10840883307209094</v>
      </c>
      <c r="Q47" s="32">
        <v>0.14393832558357722</v>
      </c>
      <c r="S47" s="62">
        <v>22.857142857142858</v>
      </c>
      <c r="T47" s="31">
        <v>-3.6310428090306275E-2</v>
      </c>
      <c r="U47" s="31">
        <v>-7.2490047108512035E-2</v>
      </c>
      <c r="V47" s="31"/>
      <c r="W47" s="31"/>
      <c r="X47" s="31"/>
      <c r="Y47" s="31"/>
      <c r="Z47" s="31">
        <v>-0.10840883307209094</v>
      </c>
      <c r="AA47" s="32">
        <v>-0.14393832558357722</v>
      </c>
      <c r="AK47" s="36"/>
      <c r="AL47" s="10" t="s">
        <v>1</v>
      </c>
      <c r="AM47" s="10" t="s">
        <v>61</v>
      </c>
      <c r="AN47" s="10"/>
      <c r="AO47" s="28" t="s">
        <v>3</v>
      </c>
      <c r="AP47" s="10" t="s">
        <v>61</v>
      </c>
      <c r="AQ47" s="63" t="s">
        <v>62</v>
      </c>
      <c r="AS47" s="64"/>
      <c r="CC47" s="65"/>
      <c r="CI47" s="66"/>
    </row>
    <row r="48" spans="1:88">
      <c r="A48" s="62">
        <v>35.714285714285715</v>
      </c>
      <c r="B48" s="31">
        <v>-21.433991649742971</v>
      </c>
      <c r="C48" s="31">
        <v>-21.386377147498379</v>
      </c>
      <c r="D48" s="31">
        <v>-21.307210158827402</v>
      </c>
      <c r="E48" s="32">
        <v>-21.196775256211051</v>
      </c>
      <c r="G48" s="62">
        <v>35.714285714285715</v>
      </c>
      <c r="H48" s="31">
        <v>26.433991649742968</v>
      </c>
      <c r="I48" s="31">
        <v>26.386377147498376</v>
      </c>
      <c r="J48" s="31">
        <v>26.307210158827399</v>
      </c>
      <c r="K48" s="32">
        <v>26.196775256211051</v>
      </c>
      <c r="M48" s="62">
        <v>35.714285714285715</v>
      </c>
      <c r="N48" s="31">
        <v>4.5388035112882849E-2</v>
      </c>
      <c r="O48" s="31">
        <v>9.0612558885640043E-2</v>
      </c>
      <c r="P48" s="31">
        <v>0.13551104134011366</v>
      </c>
      <c r="Q48" s="32">
        <v>0.17992290697947153</v>
      </c>
      <c r="S48" s="62">
        <v>35.714285714285715</v>
      </c>
      <c r="T48" s="31">
        <v>-4.5388035112882849E-2</v>
      </c>
      <c r="U48" s="31">
        <v>-9.0612558885640043E-2</v>
      </c>
      <c r="V48" s="31"/>
      <c r="W48" s="31"/>
      <c r="X48" s="31"/>
      <c r="Y48" s="31"/>
      <c r="Z48" s="31">
        <v>-0.13551104134011366</v>
      </c>
      <c r="AA48" s="32">
        <v>-0.17992290697947153</v>
      </c>
      <c r="AK48" s="36"/>
      <c r="AL48" s="9">
        <v>0</v>
      </c>
      <c r="AM48" s="67">
        <f t="shared" ref="AM48:AM73" si="44">$AM$45*(1/2*EXP(-$AK$45*$AO$45)+($AP$45/(2*$AP$45))-SQRT($AP$45/$AP$45)*EXP(-(($AK$45/2)+(AL48^2/8))*$AO$45))</f>
        <v>4.1593030131181763E-4</v>
      </c>
      <c r="AN48" s="10"/>
      <c r="AO48" s="10">
        <v>1</v>
      </c>
      <c r="AP48" s="67">
        <f t="shared" ref="AP48:AP72" si="45">$AM$45*(1/2*EXP(-$AK$45*(AO48/52))+($AP$45/(2*$AP$45))-SQRT($AP$45/$AP$45)*EXP(-(($AK$45/2)+($AL$45^2/8))*(AO48/52)))</f>
        <v>6.0064931305658931</v>
      </c>
      <c r="AQ48" s="68">
        <v>11.77</v>
      </c>
      <c r="AR48" s="69">
        <f>AQ48-AP48</f>
        <v>5.7635068694341065</v>
      </c>
      <c r="AS48" s="64"/>
    </row>
    <row r="49" spans="1:45">
      <c r="A49" s="62">
        <v>48.571428571428569</v>
      </c>
      <c r="B49" s="31">
        <v>-17.666960837999056</v>
      </c>
      <c r="C49" s="31">
        <v>-17.626131739163</v>
      </c>
      <c r="D49" s="31">
        <v>-17.558246606427669</v>
      </c>
      <c r="E49" s="32">
        <v>-17.463549458682394</v>
      </c>
      <c r="G49" s="62">
        <v>48.571428571428569</v>
      </c>
      <c r="H49" s="31">
        <v>22.66696083799906</v>
      </c>
      <c r="I49" s="31">
        <v>22.626131739163</v>
      </c>
      <c r="J49" s="31">
        <v>22.558246606427673</v>
      </c>
      <c r="K49" s="32">
        <v>22.463549458682397</v>
      </c>
      <c r="M49" s="62">
        <v>48.571428571428569</v>
      </c>
      <c r="N49" s="31">
        <v>5.2931089868953854E-2</v>
      </c>
      <c r="O49" s="31">
        <v>0.10567149438620083</v>
      </c>
      <c r="P49" s="31">
        <v>0.15803167265491913</v>
      </c>
      <c r="Q49" s="32">
        <v>0.20982436307560484</v>
      </c>
      <c r="S49" s="62">
        <v>48.571428571428569</v>
      </c>
      <c r="T49" s="31">
        <v>-5.2931089868953854E-2</v>
      </c>
      <c r="U49" s="31">
        <v>-0.10567149438620083</v>
      </c>
      <c r="V49" s="31"/>
      <c r="W49" s="31"/>
      <c r="X49" s="31"/>
      <c r="Y49" s="31"/>
      <c r="Z49" s="31">
        <v>-0.15803167265491913</v>
      </c>
      <c r="AA49" s="32">
        <v>-0.20982436307560484</v>
      </c>
      <c r="AK49" s="36"/>
      <c r="AL49" s="9">
        <v>0.1</v>
      </c>
      <c r="AM49" s="67">
        <f t="shared" si="44"/>
        <v>0.24072832558896806</v>
      </c>
      <c r="AN49" s="10"/>
      <c r="AO49" s="10">
        <v>2</v>
      </c>
      <c r="AP49" s="67">
        <f t="shared" si="45"/>
        <v>12.00674580076555</v>
      </c>
      <c r="AQ49" s="68">
        <v>23.52</v>
      </c>
      <c r="AR49" s="69">
        <f t="shared" ref="AR49:AR51" si="46">AQ49-AP49</f>
        <v>11.513254199234449</v>
      </c>
      <c r="AS49" s="64"/>
    </row>
    <row r="50" spans="1:45">
      <c r="A50" s="62">
        <v>61.428571428571431</v>
      </c>
      <c r="B50" s="31">
        <v>-15.155729673849063</v>
      </c>
      <c r="C50" s="31">
        <v>-15.119423956252067</v>
      </c>
      <c r="D50" s="31">
        <v>-15.059059693302762</v>
      </c>
      <c r="E50" s="32">
        <v>-14.974853869483693</v>
      </c>
      <c r="G50" s="62">
        <v>61.428571428571431</v>
      </c>
      <c r="H50" s="31">
        <v>20.155729673849063</v>
      </c>
      <c r="I50" s="31">
        <v>20.119423956252071</v>
      </c>
      <c r="J50" s="31">
        <v>20.059059693302764</v>
      </c>
      <c r="K50" s="32">
        <v>19.974853869483695</v>
      </c>
      <c r="M50" s="62">
        <v>61.428571428571431</v>
      </c>
      <c r="N50" s="31">
        <v>5.9525849998317976E-2</v>
      </c>
      <c r="O50" s="31">
        <v>0.1188372568844559</v>
      </c>
      <c r="P50" s="31">
        <v>0.1777210645903885</v>
      </c>
      <c r="Q50" s="32">
        <v>0.23596668032631837</v>
      </c>
      <c r="S50" s="62">
        <v>61.428571428571431</v>
      </c>
      <c r="T50" s="31">
        <v>-5.9525849998317976E-2</v>
      </c>
      <c r="U50" s="31">
        <v>-0.1188372568844559</v>
      </c>
      <c r="V50" s="31"/>
      <c r="W50" s="31"/>
      <c r="X50" s="31"/>
      <c r="Y50" s="31"/>
      <c r="Z50" s="31">
        <v>-0.1777210645903885</v>
      </c>
      <c r="AA50" s="32">
        <v>-0.23596668032631837</v>
      </c>
      <c r="AK50" s="36"/>
      <c r="AL50" s="9">
        <v>0.2</v>
      </c>
      <c r="AM50" s="67">
        <f t="shared" si="44"/>
        <v>0.96163085198108789</v>
      </c>
      <c r="AN50" s="10"/>
      <c r="AO50" s="10">
        <v>3</v>
      </c>
      <c r="AP50" s="67">
        <f t="shared" si="45"/>
        <v>18.000764077921172</v>
      </c>
      <c r="AQ50" s="68">
        <v>35.25</v>
      </c>
      <c r="AR50" s="69">
        <f t="shared" si="46"/>
        <v>17.249235922078828</v>
      </c>
      <c r="AS50" s="64"/>
    </row>
    <row r="51" spans="1:45">
      <c r="A51" s="62">
        <v>74.285714285714292</v>
      </c>
      <c r="B51" s="31">
        <v>-13.328675443910615</v>
      </c>
      <c r="C51" s="31">
        <v>-13.295660726737815</v>
      </c>
      <c r="D51" s="31">
        <v>-13.240768296549872</v>
      </c>
      <c r="E51" s="32">
        <v>-13.164195468860619</v>
      </c>
      <c r="G51" s="62">
        <v>74.285714285714292</v>
      </c>
      <c r="H51" s="31">
        <v>18.328675443910615</v>
      </c>
      <c r="I51" s="31">
        <v>18.295660726737815</v>
      </c>
      <c r="J51" s="31">
        <v>18.240768296549874</v>
      </c>
      <c r="K51" s="32">
        <v>18.164195468860623</v>
      </c>
      <c r="M51" s="62">
        <v>74.285714285714292</v>
      </c>
      <c r="N51" s="31">
        <v>6.5459555156823626E-2</v>
      </c>
      <c r="O51" s="31">
        <v>0.13068329090527009</v>
      </c>
      <c r="P51" s="31">
        <v>0.19543680317732004</v>
      </c>
      <c r="Q51" s="32">
        <v>0.25948850669800888</v>
      </c>
      <c r="S51" s="62">
        <v>74.285714285714292</v>
      </c>
      <c r="T51" s="31">
        <v>-6.5459555156823626E-2</v>
      </c>
      <c r="U51" s="31">
        <v>-0.13068329090527009</v>
      </c>
      <c r="V51" s="31"/>
      <c r="W51" s="31"/>
      <c r="X51" s="31"/>
      <c r="Y51" s="31"/>
      <c r="Z51" s="31">
        <v>-0.19543680317732004</v>
      </c>
      <c r="AA51" s="32">
        <v>-0.25948850669800888</v>
      </c>
      <c r="AK51" s="36"/>
      <c r="AL51" s="9">
        <v>0.3</v>
      </c>
      <c r="AM51" s="67">
        <f t="shared" si="44"/>
        <v>2.1630195393995688</v>
      </c>
      <c r="AN51" s="10"/>
      <c r="AO51" s="10">
        <v>4</v>
      </c>
      <c r="AP51" s="67">
        <f t="shared" si="45"/>
        <v>23.988554023665067</v>
      </c>
      <c r="AQ51" s="68">
        <v>46.96</v>
      </c>
      <c r="AR51" s="69">
        <f t="shared" si="46"/>
        <v>22.971445976334934</v>
      </c>
      <c r="AS51" s="64"/>
    </row>
    <row r="52" spans="1:45">
      <c r="A52" s="62">
        <v>87.142857142857153</v>
      </c>
      <c r="B52" s="31">
        <v>-11.922629075026576</v>
      </c>
      <c r="C52" s="31">
        <v>-11.892147013491799</v>
      </c>
      <c r="D52" s="31">
        <v>-11.841465542376225</v>
      </c>
      <c r="E52" s="32">
        <v>-11.770766840542771</v>
      </c>
      <c r="G52" s="62">
        <v>87.142857142857153</v>
      </c>
      <c r="H52" s="31">
        <v>16.922629075026578</v>
      </c>
      <c r="I52" s="31">
        <v>16.892147013491801</v>
      </c>
      <c r="J52" s="31">
        <v>16.841465542376227</v>
      </c>
      <c r="K52" s="32">
        <v>16.770766840542773</v>
      </c>
      <c r="M52" s="62">
        <v>87.142857142857153</v>
      </c>
      <c r="N52" s="31">
        <v>7.0898377306086627E-2</v>
      </c>
      <c r="O52" s="31">
        <v>0.14154134173392854</v>
      </c>
      <c r="P52" s="31">
        <v>0.21167501334167921</v>
      </c>
      <c r="Q52" s="32">
        <v>0.28104856518492016</v>
      </c>
      <c r="S52" s="62">
        <v>87.142857142857153</v>
      </c>
      <c r="T52" s="31">
        <v>-7.0898377306086627E-2</v>
      </c>
      <c r="U52" s="31">
        <v>-0.14154134173392854</v>
      </c>
      <c r="V52" s="31"/>
      <c r="W52" s="31"/>
      <c r="X52" s="31"/>
      <c r="Y52" s="31"/>
      <c r="Z52" s="31">
        <v>-0.21167501334167921</v>
      </c>
      <c r="AA52" s="32">
        <v>-0.28104856518492016</v>
      </c>
      <c r="AK52" s="36"/>
      <c r="AL52" s="9">
        <v>0.4</v>
      </c>
      <c r="AM52" s="67">
        <f t="shared" si="44"/>
        <v>3.8447211321512853</v>
      </c>
      <c r="AN52" s="10"/>
      <c r="AO52" s="10">
        <v>5</v>
      </c>
      <c r="AP52" s="67">
        <f t="shared" si="45"/>
        <v>29.970121693938534</v>
      </c>
      <c r="AQ52" s="68">
        <v>58.65</v>
      </c>
      <c r="AS52" s="64"/>
    </row>
    <row r="53" spans="1:45">
      <c r="A53" s="62">
        <v>100</v>
      </c>
      <c r="B53" s="31">
        <v>-10.797331539339629</v>
      </c>
      <c r="C53" s="31">
        <v>-10.768876431688653</v>
      </c>
      <c r="D53" s="31">
        <v>-10.721565106801451</v>
      </c>
      <c r="E53" s="32">
        <v>-10.655567629263393</v>
      </c>
      <c r="G53" s="62">
        <v>100</v>
      </c>
      <c r="H53" s="31">
        <v>15.797331539339629</v>
      </c>
      <c r="I53" s="31">
        <v>15.768876431688653</v>
      </c>
      <c r="J53" s="31">
        <v>15.721565106801451</v>
      </c>
      <c r="K53" s="32">
        <v>15.655567629263393</v>
      </c>
      <c r="M53" s="62">
        <v>100</v>
      </c>
      <c r="N53" s="31">
        <v>7.5948709323748226E-2</v>
      </c>
      <c r="O53" s="31">
        <v>0.15162381184316018</v>
      </c>
      <c r="P53" s="31">
        <v>0.22675334288655943</v>
      </c>
      <c r="Q53" s="32">
        <v>0.30106860825506532</v>
      </c>
      <c r="S53" s="62">
        <v>100</v>
      </c>
      <c r="T53" s="31">
        <v>-7.5948709323748226E-2</v>
      </c>
      <c r="U53" s="31">
        <v>-0.15162381184316018</v>
      </c>
      <c r="V53" s="31"/>
      <c r="W53" s="31"/>
      <c r="X53" s="31"/>
      <c r="Y53" s="31"/>
      <c r="Z53" s="31">
        <v>-0.22675334288655943</v>
      </c>
      <c r="AA53" s="32">
        <v>-0.30106860825506532</v>
      </c>
      <c r="AK53" s="36"/>
      <c r="AL53" s="9">
        <v>0.5</v>
      </c>
      <c r="AM53" s="67">
        <f t="shared" si="44"/>
        <v>6.0064931305658931</v>
      </c>
      <c r="AN53" s="10"/>
      <c r="AO53" s="10">
        <v>6</v>
      </c>
      <c r="AP53" s="67">
        <f t="shared" si="45"/>
        <v>35.945473138999652</v>
      </c>
      <c r="AQ53" s="68">
        <v>70.319999999999993</v>
      </c>
      <c r="AS53" s="64"/>
    </row>
    <row r="54" spans="1:45">
      <c r="A54" s="62">
        <v>212.5</v>
      </c>
      <c r="B54" s="31">
        <v>-5.836880032095511</v>
      </c>
      <c r="C54" s="31">
        <v>-5.8173599892866301</v>
      </c>
      <c r="D54" s="31">
        <v>-5.7849046881691395</v>
      </c>
      <c r="E54" s="32">
        <v>-5.7396307920861327</v>
      </c>
      <c r="G54" s="62">
        <v>212.5</v>
      </c>
      <c r="H54" s="31">
        <v>10.836880032095511</v>
      </c>
      <c r="I54" s="31">
        <v>10.817359989286631</v>
      </c>
      <c r="J54" s="31">
        <v>10.78490468816914</v>
      </c>
      <c r="K54" s="32">
        <v>10.739630792086134</v>
      </c>
      <c r="M54" s="62">
        <v>212.5</v>
      </c>
      <c r="N54" s="31">
        <v>0.11071331763559118</v>
      </c>
      <c r="O54" s="31">
        <v>0.22102778824263553</v>
      </c>
      <c r="P54" s="31">
        <v>0.3305469585917224</v>
      </c>
      <c r="Q54" s="32">
        <v>0.43887914294582764</v>
      </c>
      <c r="S54" s="62">
        <v>212.5</v>
      </c>
      <c r="T54" s="31">
        <v>-0.11071331763559118</v>
      </c>
      <c r="U54" s="31">
        <v>-0.22102778824263553</v>
      </c>
      <c r="V54" s="31"/>
      <c r="W54" s="31"/>
      <c r="X54" s="31"/>
      <c r="Y54" s="31"/>
      <c r="Z54" s="31">
        <v>-0.3305469585917224</v>
      </c>
      <c r="AA54" s="32">
        <v>-0.43887914294582764</v>
      </c>
      <c r="AK54" s="36"/>
      <c r="AL54" s="9">
        <v>0.6</v>
      </c>
      <c r="AM54" s="67">
        <f t="shared" si="44"/>
        <v>8.6480238492792072</v>
      </c>
      <c r="AN54" s="10"/>
      <c r="AO54" s="10">
        <v>7</v>
      </c>
      <c r="AP54" s="67">
        <f t="shared" si="45"/>
        <v>41.914614403428807</v>
      </c>
      <c r="AQ54" s="68">
        <v>81.97</v>
      </c>
      <c r="AS54" s="64"/>
    </row>
    <row r="55" spans="1:45">
      <c r="A55" s="62">
        <v>325</v>
      </c>
      <c r="B55" s="31">
        <v>-3.7627829047066941</v>
      </c>
      <c r="C55" s="31">
        <v>-3.7469988509090868</v>
      </c>
      <c r="D55" s="31">
        <v>-3.7207552497104812</v>
      </c>
      <c r="E55" s="32">
        <v>-3.6841464359697493</v>
      </c>
      <c r="G55" s="62">
        <v>325</v>
      </c>
      <c r="H55" s="31">
        <v>8.7627829047066932</v>
      </c>
      <c r="I55" s="31">
        <v>8.7469988509090868</v>
      </c>
      <c r="J55" s="31">
        <v>8.7207552497104803</v>
      </c>
      <c r="K55" s="32">
        <v>8.6841464359697493</v>
      </c>
      <c r="M55" s="62">
        <v>325</v>
      </c>
      <c r="N55" s="31">
        <v>0.13691848288604211</v>
      </c>
      <c r="O55" s="31">
        <v>0.27334371409090902</v>
      </c>
      <c r="P55" s="31">
        <v>0.40878540233017879</v>
      </c>
      <c r="Q55" s="32">
        <v>0.54275915224810944</v>
      </c>
      <c r="S55" s="62">
        <v>325</v>
      </c>
      <c r="T55" s="31">
        <v>-0.13691848288604211</v>
      </c>
      <c r="U55" s="31">
        <v>-0.27334371409090902</v>
      </c>
      <c r="V55" s="31"/>
      <c r="W55" s="31"/>
      <c r="X55" s="31"/>
      <c r="Y55" s="31"/>
      <c r="Z55" s="31">
        <v>-0.40878540233017879</v>
      </c>
      <c r="AA55" s="32">
        <v>-0.54275915224810944</v>
      </c>
      <c r="AK55" s="36"/>
      <c r="AL55" s="9">
        <v>0.7</v>
      </c>
      <c r="AM55" s="67">
        <f t="shared" si="44"/>
        <v>11.768932492126627</v>
      </c>
      <c r="AN55" s="10"/>
      <c r="AO55" s="10">
        <v>8</v>
      </c>
      <c r="AP55" s="67">
        <f t="shared" si="45"/>
        <v>47.877551526136486</v>
      </c>
      <c r="AQ55" s="68">
        <v>93.6</v>
      </c>
      <c r="AS55" s="64"/>
    </row>
    <row r="56" spans="1:45">
      <c r="A56" s="62">
        <v>437.5</v>
      </c>
      <c r="B56" s="31">
        <v>-2.5525690427837056</v>
      </c>
      <c r="C56" s="31">
        <v>-2.5389648992852503</v>
      </c>
      <c r="D56" s="31">
        <v>-2.5163457596649708</v>
      </c>
      <c r="E56" s="32">
        <v>-2.484792930346015</v>
      </c>
      <c r="G56" s="62">
        <v>437.5</v>
      </c>
      <c r="H56" s="31">
        <v>7.5525690427837064</v>
      </c>
      <c r="I56" s="31">
        <v>7.5389648992852516</v>
      </c>
      <c r="J56" s="31">
        <v>7.5163457596649721</v>
      </c>
      <c r="K56" s="32">
        <v>7.4847929303460159</v>
      </c>
      <c r="M56" s="62">
        <v>437.5</v>
      </c>
      <c r="N56" s="31">
        <v>0.15885812289508996</v>
      </c>
      <c r="O56" s="31">
        <v>0.31714395609974011</v>
      </c>
      <c r="P56" s="31">
        <v>0.47428864469039778</v>
      </c>
      <c r="Q56" s="32">
        <v>0.62973017442815038</v>
      </c>
      <c r="S56" s="62">
        <v>437.5</v>
      </c>
      <c r="T56" s="31">
        <v>-0.15885812289508996</v>
      </c>
      <c r="U56" s="31">
        <v>-0.31714395609974011</v>
      </c>
      <c r="V56" s="31"/>
      <c r="W56" s="31"/>
      <c r="X56" s="31"/>
      <c r="Y56" s="31"/>
      <c r="Z56" s="31">
        <v>-0.47428864469039778</v>
      </c>
      <c r="AA56" s="32">
        <v>-0.62973017442815038</v>
      </c>
      <c r="AK56" s="36"/>
      <c r="AL56" s="9">
        <v>0.8</v>
      </c>
      <c r="AM56" s="67">
        <f t="shared" si="44"/>
        <v>15.368769243636615</v>
      </c>
      <c r="AN56" s="10"/>
      <c r="AO56" s="10">
        <v>9</v>
      </c>
      <c r="AP56" s="67">
        <f t="shared" si="45"/>
        <v>53.834290540361039</v>
      </c>
      <c r="AQ56" s="68">
        <v>105.21</v>
      </c>
      <c r="AS56" s="64"/>
    </row>
    <row r="57" spans="1:45">
      <c r="A57" s="62">
        <v>550</v>
      </c>
      <c r="B57" s="31">
        <v>-1.7360048013885749</v>
      </c>
      <c r="C57" s="31">
        <v>-1.723871502718247</v>
      </c>
      <c r="D57" s="31">
        <v>-1.703697886002878</v>
      </c>
      <c r="E57" s="32">
        <v>-1.6755564670253225</v>
      </c>
      <c r="G57" s="62">
        <v>550</v>
      </c>
      <c r="H57" s="31">
        <v>6.7360048013885745</v>
      </c>
      <c r="I57" s="31">
        <v>6.7238715027182465</v>
      </c>
      <c r="J57" s="31">
        <v>6.7036978860028773</v>
      </c>
      <c r="K57" s="32">
        <v>6.6755564670253218</v>
      </c>
      <c r="M57" s="62">
        <v>550</v>
      </c>
      <c r="N57" s="31">
        <v>0.17811551157517869</v>
      </c>
      <c r="O57" s="31">
        <v>0.35558935831683036</v>
      </c>
      <c r="P57" s="31">
        <v>0.53178372653388206</v>
      </c>
      <c r="Q57" s="32">
        <v>0.70606847247383231</v>
      </c>
      <c r="S57" s="62">
        <v>550</v>
      </c>
      <c r="T57" s="31">
        <v>-0.17811551157517869</v>
      </c>
      <c r="U57" s="31">
        <v>-0.35558935831683036</v>
      </c>
      <c r="V57" s="31"/>
      <c r="W57" s="31"/>
      <c r="X57" s="31"/>
      <c r="Y57" s="31"/>
      <c r="Z57" s="31">
        <v>-0.53178372653388206</v>
      </c>
      <c r="AA57" s="32">
        <v>-0.70606847247383231</v>
      </c>
      <c r="AK57" s="36"/>
      <c r="AL57" s="9">
        <v>0.9</v>
      </c>
      <c r="AM57" s="67">
        <f t="shared" si="44"/>
        <v>19.447015377077605</v>
      </c>
      <c r="AN57" s="10"/>
      <c r="AO57" s="10">
        <v>10</v>
      </c>
      <c r="AP57" s="67">
        <f t="shared" si="45"/>
        <v>59.784837473684235</v>
      </c>
      <c r="AQ57" s="68">
        <v>116.8</v>
      </c>
      <c r="AS57" s="64"/>
    </row>
    <row r="58" spans="1:45">
      <c r="A58" s="62">
        <v>662.5</v>
      </c>
      <c r="B58" s="31">
        <v>-1.1374899148524404</v>
      </c>
      <c r="C58" s="31">
        <v>-1.1264346973431421</v>
      </c>
      <c r="D58" s="31">
        <v>-1.108053568946209</v>
      </c>
      <c r="E58" s="32">
        <v>-1.0824126021926261</v>
      </c>
      <c r="G58" s="62">
        <v>662.5</v>
      </c>
      <c r="H58" s="31">
        <v>6.1374899148524404</v>
      </c>
      <c r="I58" s="31">
        <v>6.1264346973431421</v>
      </c>
      <c r="J58" s="31">
        <v>6.1080535689462101</v>
      </c>
      <c r="K58" s="32">
        <v>6.082412602192627</v>
      </c>
      <c r="M58" s="62">
        <v>662.5</v>
      </c>
      <c r="N58" s="31">
        <v>0.19548495522066067</v>
      </c>
      <c r="O58" s="31">
        <v>0.39026567182594535</v>
      </c>
      <c r="P58" s="31">
        <v>0.58364213789810537</v>
      </c>
      <c r="Q58" s="32">
        <v>0.77492275941396438</v>
      </c>
      <c r="S58" s="62">
        <v>662.5</v>
      </c>
      <c r="T58" s="31">
        <v>-0.19548495522066067</v>
      </c>
      <c r="U58" s="31">
        <v>-0.39026567182594535</v>
      </c>
      <c r="V58" s="31"/>
      <c r="W58" s="31"/>
      <c r="X58" s="31"/>
      <c r="Y58" s="31"/>
      <c r="Z58" s="31">
        <v>-0.58364213789810537</v>
      </c>
      <c r="AA58" s="32">
        <v>-0.77492275941396438</v>
      </c>
      <c r="AK58" s="36"/>
      <c r="AL58" s="9">
        <v>1</v>
      </c>
      <c r="AM58" s="67">
        <f t="shared" si="44"/>
        <v>24.003083379039445</v>
      </c>
      <c r="AN58" s="10"/>
      <c r="AO58" s="10">
        <v>11</v>
      </c>
      <c r="AP58" s="67">
        <f t="shared" si="45"/>
        <v>65.729198348024596</v>
      </c>
      <c r="AQ58" s="68">
        <v>128.37</v>
      </c>
      <c r="AS58" s="64"/>
    </row>
    <row r="59" spans="1:45">
      <c r="A59" s="62">
        <v>775</v>
      </c>
      <c r="B59" s="31">
        <v>-0.67456900468038272</v>
      </c>
      <c r="C59" s="31">
        <v>-0.66434762827266725</v>
      </c>
      <c r="D59" s="31">
        <v>-0.64735289868136126</v>
      </c>
      <c r="E59" s="32">
        <v>-0.62364590490890426</v>
      </c>
      <c r="G59" s="62">
        <v>775</v>
      </c>
      <c r="H59" s="31">
        <v>5.6745690046803832</v>
      </c>
      <c r="I59" s="31">
        <v>5.6643476282726679</v>
      </c>
      <c r="J59" s="31">
        <v>5.6473528986813619</v>
      </c>
      <c r="K59" s="32">
        <v>5.6236459049089049</v>
      </c>
      <c r="M59" s="62">
        <v>775</v>
      </c>
      <c r="N59" s="31">
        <v>0.21143225858785081</v>
      </c>
      <c r="O59" s="31">
        <v>0.42210282806839589</v>
      </c>
      <c r="P59" s="31">
        <v>0.63125459083818103</v>
      </c>
      <c r="Q59" s="32">
        <v>0.83813953390469254</v>
      </c>
      <c r="S59" s="62">
        <v>775</v>
      </c>
      <c r="T59" s="31">
        <v>-0.21143225858785081</v>
      </c>
      <c r="U59" s="31">
        <v>-0.42210282806839589</v>
      </c>
      <c r="V59" s="31"/>
      <c r="W59" s="31"/>
      <c r="X59" s="31"/>
      <c r="Y59" s="31"/>
      <c r="Z59" s="31">
        <v>-0.63125459083818103</v>
      </c>
      <c r="AA59" s="32">
        <v>-0.83813953390469254</v>
      </c>
      <c r="AK59" s="36"/>
      <c r="AL59" s="9">
        <v>1.1000000000000001</v>
      </c>
      <c r="AM59" s="67">
        <f t="shared" si="44"/>
        <v>29.036317090489483</v>
      </c>
      <c r="AN59" s="10"/>
      <c r="AO59" s="10">
        <v>12</v>
      </c>
      <c r="AP59" s="67">
        <f t="shared" si="45"/>
        <v>71.66737917965294</v>
      </c>
      <c r="AQ59" s="68">
        <v>139.93</v>
      </c>
      <c r="AS59" s="64"/>
    </row>
    <row r="60" spans="1:45">
      <c r="A60" s="62">
        <v>887.5</v>
      </c>
      <c r="B60" s="31">
        <v>-0.30273045545846322</v>
      </c>
      <c r="C60" s="31">
        <v>-0.29317885710285335</v>
      </c>
      <c r="D60" s="31">
        <v>-0.27729774435018928</v>
      </c>
      <c r="E60" s="32">
        <v>-0.25514420321237263</v>
      </c>
      <c r="G60" s="62">
        <v>887.5</v>
      </c>
      <c r="H60" s="31">
        <v>5.3027304554584633</v>
      </c>
      <c r="I60" s="31">
        <v>5.2931788571028529</v>
      </c>
      <c r="J60" s="31">
        <v>5.2772977443501903</v>
      </c>
      <c r="K60" s="32">
        <v>5.2551442032123727</v>
      </c>
      <c r="M60" s="62">
        <v>887.5</v>
      </c>
      <c r="N60" s="31">
        <v>0.22625833073170123</v>
      </c>
      <c r="O60" s="31">
        <v>0.45170156112295984</v>
      </c>
      <c r="P60" s="31">
        <v>0.67551948290059516</v>
      </c>
      <c r="Q60" s="32">
        <v>0.89691163083672709</v>
      </c>
      <c r="S60" s="62">
        <v>887.5</v>
      </c>
      <c r="T60" s="31">
        <v>-0.22625833073170123</v>
      </c>
      <c r="U60" s="31">
        <v>-0.45170156112295984</v>
      </c>
      <c r="V60" s="31"/>
      <c r="W60" s="31"/>
      <c r="X60" s="31"/>
      <c r="Y60" s="31"/>
      <c r="Z60" s="31">
        <v>-0.67551948290059516</v>
      </c>
      <c r="AA60" s="32">
        <v>-0.89691163083672709</v>
      </c>
      <c r="AK60" s="36"/>
      <c r="AL60" s="9">
        <v>1.2</v>
      </c>
      <c r="AM60" s="67">
        <f t="shared" si="44"/>
        <v>34.54599186426988</v>
      </c>
      <c r="AN60" s="10"/>
      <c r="AO60" s="10">
        <v>13</v>
      </c>
      <c r="AP60" s="67">
        <f t="shared" si="45"/>
        <v>77.599385979192363</v>
      </c>
      <c r="AQ60" s="68">
        <v>151.46</v>
      </c>
      <c r="AS60" s="64"/>
    </row>
    <row r="61" spans="1:45">
      <c r="A61" s="62">
        <v>1000</v>
      </c>
      <c r="B61" s="31">
        <v>4.4451382872929147E-3</v>
      </c>
      <c r="C61" s="31">
        <v>1.3443433411529458E-2</v>
      </c>
      <c r="D61" s="31">
        <v>2.8404587987906731E-2</v>
      </c>
      <c r="E61" s="32">
        <v>4.9274822872513162E-2</v>
      </c>
      <c r="G61" s="62">
        <v>1000</v>
      </c>
      <c r="H61" s="31">
        <v>4.9955548617127068</v>
      </c>
      <c r="I61" s="31">
        <v>4.9865565665884706</v>
      </c>
      <c r="J61" s="31">
        <v>4.9715954120120935</v>
      </c>
      <c r="K61" s="32">
        <v>4.9507251771274872</v>
      </c>
      <c r="M61" s="62">
        <v>1000</v>
      </c>
      <c r="N61" s="31">
        <v>0.24017090681311093</v>
      </c>
      <c r="O61" s="31">
        <v>0.4794765929411991</v>
      </c>
      <c r="P61" s="31">
        <v>0.71705703057866732</v>
      </c>
      <c r="Q61" s="32">
        <v>0.95206253406297836</v>
      </c>
      <c r="S61" s="62">
        <v>1000</v>
      </c>
      <c r="T61" s="31">
        <v>-0.24017090681311093</v>
      </c>
      <c r="U61" s="31">
        <v>-0.4794765929411991</v>
      </c>
      <c r="V61" s="31"/>
      <c r="W61" s="31"/>
      <c r="X61" s="31"/>
      <c r="Y61" s="31"/>
      <c r="Z61" s="31">
        <v>-0.71705703057866732</v>
      </c>
      <c r="AA61" s="32">
        <v>-0.95206253406297836</v>
      </c>
      <c r="AK61" s="36"/>
      <c r="AL61" s="9">
        <v>1.3</v>
      </c>
      <c r="AM61" s="67">
        <f t="shared" si="44"/>
        <v>40.531314738974089</v>
      </c>
      <c r="AN61" s="10"/>
      <c r="AO61" s="10">
        <v>14</v>
      </c>
      <c r="AP61" s="67">
        <f t="shared" si="45"/>
        <v>83.525224751623824</v>
      </c>
      <c r="AQ61" s="68">
        <v>162.97</v>
      </c>
      <c r="AS61" s="64"/>
    </row>
    <row r="62" spans="1:45">
      <c r="A62" s="62">
        <v>1200</v>
      </c>
      <c r="B62" s="31">
        <v>0.43970319164224941</v>
      </c>
      <c r="C62" s="31">
        <v>0.44791747367330481</v>
      </c>
      <c r="D62" s="31">
        <v>0.46157507675297699</v>
      </c>
      <c r="E62" s="32">
        <v>0.48062690746419401</v>
      </c>
      <c r="G62" s="62">
        <v>1200</v>
      </c>
      <c r="H62" s="31">
        <v>4.5602968083577506</v>
      </c>
      <c r="I62" s="31">
        <v>4.5520825263266955</v>
      </c>
      <c r="J62" s="31">
        <v>4.5384249232470228</v>
      </c>
      <c r="K62" s="32">
        <v>4.5193730925358055</v>
      </c>
      <c r="M62" s="62">
        <v>1200</v>
      </c>
      <c r="N62" s="31">
        <v>0.26309404663602409</v>
      </c>
      <c r="O62" s="31">
        <v>0.52524029149923412</v>
      </c>
      <c r="P62" s="31">
        <v>0.78549662133121545</v>
      </c>
      <c r="Q62" s="32">
        <v>1.0429322521236477</v>
      </c>
      <c r="S62" s="62">
        <v>1200</v>
      </c>
      <c r="T62" s="31">
        <v>-0.26309404663602409</v>
      </c>
      <c r="U62" s="31">
        <v>-0.52524029149923412</v>
      </c>
      <c r="V62" s="31"/>
      <c r="W62" s="31"/>
      <c r="X62" s="31"/>
      <c r="Y62" s="31"/>
      <c r="Z62" s="31">
        <v>-0.78549662133121545</v>
      </c>
      <c r="AA62" s="32">
        <v>-1.0429322521236477</v>
      </c>
      <c r="AK62" s="36"/>
      <c r="AL62" s="9">
        <v>1.4</v>
      </c>
      <c r="AM62" s="67">
        <f t="shared" si="44"/>
        <v>46.991424629156953</v>
      </c>
      <c r="AN62" s="10"/>
      <c r="AO62" s="10">
        <v>15</v>
      </c>
      <c r="AP62" s="67">
        <f t="shared" si="45"/>
        <v>89.444901496293909</v>
      </c>
      <c r="AQ62" s="68">
        <v>174.47</v>
      </c>
      <c r="AS62" s="64"/>
    </row>
    <row r="63" spans="1:45">
      <c r="A63" s="62">
        <v>1400</v>
      </c>
      <c r="B63" s="31">
        <v>0.77798555389377955</v>
      </c>
      <c r="C63" s="31">
        <v>0.78559050130333119</v>
      </c>
      <c r="D63" s="31">
        <v>0.79823498474920651</v>
      </c>
      <c r="E63" s="32">
        <v>0.81587355255911587</v>
      </c>
      <c r="G63" s="62">
        <v>1400</v>
      </c>
      <c r="H63" s="31">
        <v>4.222014446106221</v>
      </c>
      <c r="I63" s="31">
        <v>4.2144094986966696</v>
      </c>
      <c r="J63" s="31">
        <v>4.2017650152507935</v>
      </c>
      <c r="K63" s="32">
        <v>4.1841264474408844</v>
      </c>
      <c r="M63" s="62">
        <v>1400</v>
      </c>
      <c r="N63" s="31">
        <v>0.28417404925714945</v>
      </c>
      <c r="O63" s="31">
        <v>0.56732435559378247</v>
      </c>
      <c r="P63" s="31">
        <v>0.84843332038717945</v>
      </c>
      <c r="Q63" s="32">
        <v>1.1264955820033151</v>
      </c>
      <c r="S63" s="62">
        <v>1400</v>
      </c>
      <c r="T63" s="31">
        <v>-0.28417404925714945</v>
      </c>
      <c r="U63" s="31">
        <v>-0.56732435559378247</v>
      </c>
      <c r="V63" s="31"/>
      <c r="W63" s="31"/>
      <c r="X63" s="31"/>
      <c r="Y63" s="31"/>
      <c r="Z63" s="31">
        <v>-0.84843332038717945</v>
      </c>
      <c r="AA63" s="32">
        <v>-1.1264955820033151</v>
      </c>
      <c r="AK63" s="36"/>
      <c r="AL63" s="9">
        <v>1.5</v>
      </c>
      <c r="AM63" s="67">
        <f t="shared" si="44"/>
        <v>53.925392531792852</v>
      </c>
      <c r="AN63" s="10"/>
      <c r="AO63" s="10">
        <v>16</v>
      </c>
      <c r="AP63" s="67">
        <f t="shared" si="45"/>
        <v>95.358422206917041</v>
      </c>
      <c r="AQ63" s="68">
        <v>185.94</v>
      </c>
      <c r="AS63" s="64"/>
    </row>
    <row r="64" spans="1:45">
      <c r="A64" s="62">
        <v>1600</v>
      </c>
      <c r="B64" s="31">
        <v>1.050667115165093</v>
      </c>
      <c r="C64" s="31">
        <v>1.0577808920778369</v>
      </c>
      <c r="D64" s="31">
        <v>1.0696087232996372</v>
      </c>
      <c r="E64" s="32">
        <v>1.0861080926841518</v>
      </c>
      <c r="G64" s="62">
        <v>1600</v>
      </c>
      <c r="H64" s="31">
        <v>3.9493328848349072</v>
      </c>
      <c r="I64" s="31">
        <v>3.9422191079221633</v>
      </c>
      <c r="J64" s="31">
        <v>3.9303912767003628</v>
      </c>
      <c r="K64" s="32">
        <v>3.9138919073158482</v>
      </c>
      <c r="M64" s="62">
        <v>1600</v>
      </c>
      <c r="N64" s="31">
        <v>0.3037948372949929</v>
      </c>
      <c r="O64" s="31">
        <v>0.60649524737264071</v>
      </c>
      <c r="P64" s="31">
        <v>0.90701337154623773</v>
      </c>
      <c r="Q64" s="32">
        <v>1.2042744330202613</v>
      </c>
      <c r="S64" s="62">
        <v>1600</v>
      </c>
      <c r="T64" s="31">
        <v>-0.3037948372949929</v>
      </c>
      <c r="U64" s="31">
        <v>-0.60649524737264071</v>
      </c>
      <c r="V64" s="31"/>
      <c r="W64" s="31"/>
      <c r="X64" s="31"/>
      <c r="Y64" s="31"/>
      <c r="Z64" s="31">
        <v>-0.90701337154623773</v>
      </c>
      <c r="AA64" s="32">
        <v>-1.2042744330202613</v>
      </c>
      <c r="AK64" s="36"/>
      <c r="AL64" s="9">
        <v>1.6</v>
      </c>
      <c r="AM64" s="67">
        <f t="shared" si="44"/>
        <v>61.33222174893649</v>
      </c>
      <c r="AN64" s="10"/>
      <c r="AO64" s="10">
        <v>17</v>
      </c>
      <c r="AP64" s="67">
        <f t="shared" si="45"/>
        <v>101.26579287157989</v>
      </c>
      <c r="AQ64" s="68">
        <v>197.4</v>
      </c>
      <c r="AS64" s="64"/>
    </row>
    <row r="65" spans="1:45">
      <c r="A65" s="62">
        <v>1800</v>
      </c>
      <c r="B65" s="31">
        <v>1.2765332479602756</v>
      </c>
      <c r="C65" s="31">
        <v>1.283240181153408</v>
      </c>
      <c r="D65" s="31">
        <v>1.2943915673716282</v>
      </c>
      <c r="E65" s="32">
        <v>1.3099473220077511</v>
      </c>
      <c r="G65" s="62">
        <v>1800</v>
      </c>
      <c r="H65" s="31">
        <v>3.7234667520397249</v>
      </c>
      <c r="I65" s="31">
        <v>3.716759818846592</v>
      </c>
      <c r="J65" s="31">
        <v>3.705608432628372</v>
      </c>
      <c r="K65" s="32">
        <v>3.6900526779922491</v>
      </c>
      <c r="M65" s="62">
        <v>1800</v>
      </c>
      <c r="N65" s="31">
        <v>0.32222308431113006</v>
      </c>
      <c r="O65" s="31">
        <v>0.64328535326191028</v>
      </c>
      <c r="P65" s="31">
        <v>0.96203295847082726</v>
      </c>
      <c r="Q65" s="32">
        <v>1.2773259269973172</v>
      </c>
      <c r="S65" s="62">
        <v>1800</v>
      </c>
      <c r="T65" s="31">
        <v>-0.32222308431113006</v>
      </c>
      <c r="U65" s="31">
        <v>-0.64328535326191028</v>
      </c>
      <c r="V65" s="31"/>
      <c r="W65" s="31"/>
      <c r="X65" s="31"/>
      <c r="Y65" s="31"/>
      <c r="Z65" s="31">
        <v>-0.96203295847082726</v>
      </c>
      <c r="AA65" s="32">
        <v>-1.2773259269973172</v>
      </c>
      <c r="AK65" s="36"/>
      <c r="AL65" s="9">
        <v>1.7</v>
      </c>
      <c r="AM65" s="67">
        <f t="shared" si="44"/>
        <v>69.210848126490816</v>
      </c>
      <c r="AN65" s="10"/>
      <c r="AO65" s="10">
        <v>18</v>
      </c>
      <c r="AP65" s="67">
        <f t="shared" si="45"/>
        <v>107.16701947275142</v>
      </c>
      <c r="AQ65" s="68">
        <v>208.84</v>
      </c>
      <c r="AS65" s="64"/>
    </row>
    <row r="66" spans="1:45">
      <c r="A66" s="62">
        <v>2000</v>
      </c>
      <c r="B66" s="31">
        <v>1.4676092814935193</v>
      </c>
      <c r="C66" s="31">
        <v>1.4739720369949847</v>
      </c>
      <c r="D66" s="31">
        <v>1.4845511708503212</v>
      </c>
      <c r="E66" s="32">
        <v>1.4993086554621824</v>
      </c>
      <c r="G66" s="62">
        <v>2000</v>
      </c>
      <c r="H66" s="31">
        <v>3.5323907185064805</v>
      </c>
      <c r="I66" s="31">
        <v>3.5260279630050149</v>
      </c>
      <c r="J66" s="31">
        <v>3.5154488291496788</v>
      </c>
      <c r="K66" s="32">
        <v>3.5006913445378172</v>
      </c>
      <c r="M66" s="62">
        <v>2000</v>
      </c>
      <c r="N66" s="31">
        <v>0.33965295370254622</v>
      </c>
      <c r="O66" s="31">
        <v>0.67808230057788765</v>
      </c>
      <c r="P66" s="31">
        <v>1.0140717776393307</v>
      </c>
      <c r="Q66" s="32">
        <v>1.3464197478991609</v>
      </c>
      <c r="S66" s="62">
        <v>2000</v>
      </c>
      <c r="T66" s="31">
        <v>-0.33965295370254622</v>
      </c>
      <c r="U66" s="31">
        <v>-0.67808230057788765</v>
      </c>
      <c r="V66" s="31"/>
      <c r="W66" s="31"/>
      <c r="X66" s="31"/>
      <c r="Y66" s="31"/>
      <c r="Z66" s="31">
        <v>-1.0140717776393307</v>
      </c>
      <c r="AA66" s="32">
        <v>-1.3464197478991609</v>
      </c>
      <c r="AK66" s="36"/>
      <c r="AL66" s="9">
        <v>1.8</v>
      </c>
      <c r="AM66" s="67">
        <f t="shared" si="44"/>
        <v>77.560140309020923</v>
      </c>
      <c r="AN66" s="10"/>
      <c r="AO66" s="10">
        <v>19</v>
      </c>
      <c r="AP66" s="67">
        <f t="shared" si="45"/>
        <v>113.06210798728512</v>
      </c>
      <c r="AQ66" s="68">
        <v>220.25</v>
      </c>
      <c r="AS66" s="64"/>
    </row>
    <row r="67" spans="1:45">
      <c r="A67" s="62">
        <v>2200</v>
      </c>
      <c r="B67" s="31">
        <v>1.6319975993057125</v>
      </c>
      <c r="C67" s="31">
        <v>1.6380642486408765</v>
      </c>
      <c r="D67" s="31">
        <v>1.6481510569985611</v>
      </c>
      <c r="E67" s="32">
        <v>1.6622217664873389</v>
      </c>
      <c r="G67" s="62">
        <v>2200</v>
      </c>
      <c r="H67" s="31">
        <v>3.3680024006942872</v>
      </c>
      <c r="I67" s="31">
        <v>3.3619357513591233</v>
      </c>
      <c r="J67" s="31">
        <v>3.3518489430014387</v>
      </c>
      <c r="K67" s="32">
        <v>3.3377782335126609</v>
      </c>
      <c r="M67" s="62">
        <v>2200</v>
      </c>
      <c r="N67" s="31">
        <v>0.35623102315035737</v>
      </c>
      <c r="O67" s="31">
        <v>0.71117871663366072</v>
      </c>
      <c r="P67" s="31">
        <v>1.0635674530677641</v>
      </c>
      <c r="Q67" s="32">
        <v>1.4121369449476646</v>
      </c>
      <c r="S67" s="62">
        <v>2200</v>
      </c>
      <c r="T67" s="31">
        <v>-0.35623102315035737</v>
      </c>
      <c r="U67" s="31">
        <v>-0.71117871663366072</v>
      </c>
      <c r="V67" s="31"/>
      <c r="W67" s="31"/>
      <c r="X67" s="31"/>
      <c r="Y67" s="31"/>
      <c r="Z67" s="31">
        <v>-1.0635674530677641</v>
      </c>
      <c r="AA67" s="32">
        <v>-1.4121369449476646</v>
      </c>
      <c r="AK67" s="36"/>
      <c r="AL67" s="9">
        <v>1.9</v>
      </c>
      <c r="AM67" s="67">
        <f t="shared" si="44"/>
        <v>86.378900010516404</v>
      </c>
      <c r="AN67" s="10"/>
      <c r="AO67" s="10">
        <v>20</v>
      </c>
      <c r="AP67" s="67">
        <f t="shared" si="45"/>
        <v>118.95106438642</v>
      </c>
      <c r="AQ67" s="68">
        <v>231.65</v>
      </c>
      <c r="AS67" s="64"/>
    </row>
    <row r="68" spans="1:45">
      <c r="A68" s="62">
        <v>2400</v>
      </c>
      <c r="B68" s="31">
        <v>1.7753832025868652</v>
      </c>
      <c r="C68" s="31">
        <v>1.7811915771136033</v>
      </c>
      <c r="D68" s="31">
        <v>1.7908489608659932</v>
      </c>
      <c r="E68" s="32">
        <v>1.8043206395559133</v>
      </c>
      <c r="G68" s="62">
        <v>2400</v>
      </c>
      <c r="H68" s="31">
        <v>3.2246167974131348</v>
      </c>
      <c r="I68" s="31">
        <v>3.2188084228863967</v>
      </c>
      <c r="J68" s="31">
        <v>3.2091510391340066</v>
      </c>
      <c r="K68" s="32">
        <v>3.1956793604440867</v>
      </c>
      <c r="M68" s="62">
        <v>2400</v>
      </c>
      <c r="N68" s="31">
        <v>0.37207116893228487</v>
      </c>
      <c r="O68" s="31">
        <v>0.74280194374301478</v>
      </c>
      <c r="P68" s="31">
        <v>1.1108599750848485</v>
      </c>
      <c r="Q68" s="32">
        <v>1.4749289355895785</v>
      </c>
      <c r="S68" s="62">
        <v>2400</v>
      </c>
      <c r="T68" s="31">
        <v>-0.37207116893228487</v>
      </c>
      <c r="U68" s="31">
        <v>-0.74280194374301478</v>
      </c>
      <c r="V68" s="31"/>
      <c r="W68" s="31"/>
      <c r="X68" s="31"/>
      <c r="Y68" s="31"/>
      <c r="Z68" s="31">
        <v>-1.1108599750848485</v>
      </c>
      <c r="AA68" s="32">
        <v>-1.4749289355895785</v>
      </c>
      <c r="AK68" s="36"/>
      <c r="AL68" s="9">
        <v>2</v>
      </c>
      <c r="AM68" s="67">
        <f t="shared" si="44"/>
        <v>95.665862301006484</v>
      </c>
      <c r="AN68" s="10"/>
      <c r="AO68" s="10">
        <v>21</v>
      </c>
      <c r="AP68" s="67">
        <f t="shared" si="45"/>
        <v>124.83389463579408</v>
      </c>
      <c r="AQ68" s="68">
        <v>243.03</v>
      </c>
      <c r="AS68" s="64"/>
    </row>
    <row r="69" spans="1:45">
      <c r="A69" s="62">
        <v>2600</v>
      </c>
      <c r="B69" s="31">
        <v>1.901888393008172</v>
      </c>
      <c r="C69" s="31">
        <v>1.9074688987456221</v>
      </c>
      <c r="D69" s="31">
        <v>1.9167474129307676</v>
      </c>
      <c r="E69" s="32">
        <v>1.9296905831544007</v>
      </c>
      <c r="G69" s="62">
        <v>2600</v>
      </c>
      <c r="H69" s="31">
        <v>3.0981116069918282</v>
      </c>
      <c r="I69" s="31">
        <v>3.0925311012543775</v>
      </c>
      <c r="J69" s="31">
        <v>3.0832525870692327</v>
      </c>
      <c r="K69" s="32">
        <v>3.0703094168455993</v>
      </c>
      <c r="M69" s="62">
        <v>2600</v>
      </c>
      <c r="N69" s="31">
        <v>0.38726395087397852</v>
      </c>
      <c r="O69" s="31">
        <v>0.77313277531359459</v>
      </c>
      <c r="P69" s="31">
        <v>1.1562197201509623</v>
      </c>
      <c r="Q69" s="32">
        <v>1.5351547084227999</v>
      </c>
      <c r="S69" s="62">
        <v>2600</v>
      </c>
      <c r="T69" s="31">
        <v>-0.38726395087397852</v>
      </c>
      <c r="U69" s="31">
        <v>-0.77313277531359459</v>
      </c>
      <c r="V69" s="31"/>
      <c r="W69" s="31"/>
      <c r="X69" s="31"/>
      <c r="Y69" s="31"/>
      <c r="Z69" s="31">
        <v>-1.1562197201509623</v>
      </c>
      <c r="AA69" s="32">
        <v>-1.5351547084227999</v>
      </c>
      <c r="AK69" s="36"/>
      <c r="AL69" s="9">
        <v>2.1</v>
      </c>
      <c r="AM69" s="67">
        <f t="shared" si="44"/>
        <v>105.41969590895262</v>
      </c>
      <c r="AN69" s="10"/>
      <c r="AO69" s="10">
        <v>22</v>
      </c>
      <c r="AP69" s="67">
        <f t="shared" si="45"/>
        <v>130.71060469544315</v>
      </c>
      <c r="AQ69" s="68">
        <v>254.39</v>
      </c>
      <c r="AS69" s="64"/>
    </row>
    <row r="70" spans="1:45">
      <c r="A70" s="62">
        <v>2800</v>
      </c>
      <c r="B70" s="31">
        <v>2.0145849548907258</v>
      </c>
      <c r="C70" s="31">
        <v>2.0199624647745869</v>
      </c>
      <c r="D70" s="31">
        <v>2.0289034647637667</v>
      </c>
      <c r="E70" s="32">
        <v>2.0413758156725721</v>
      </c>
      <c r="G70" s="62">
        <v>2800</v>
      </c>
      <c r="H70" s="31">
        <v>2.9854150451092738</v>
      </c>
      <c r="I70" s="31">
        <v>2.9800375352254131</v>
      </c>
      <c r="J70" s="31">
        <v>2.9710965352362333</v>
      </c>
      <c r="K70" s="32">
        <v>2.9586241843274279</v>
      </c>
      <c r="M70" s="62">
        <v>2800</v>
      </c>
      <c r="N70" s="31">
        <v>0.40188279453394071</v>
      </c>
      <c r="O70" s="31">
        <v>0.80231779794530356</v>
      </c>
      <c r="P70" s="31">
        <v>1.1998659084607863</v>
      </c>
      <c r="Q70" s="32">
        <v>1.5931053300224614</v>
      </c>
      <c r="S70" s="62">
        <v>2800</v>
      </c>
      <c r="T70" s="31">
        <v>-0.40188279453394071</v>
      </c>
      <c r="U70" s="31">
        <v>-0.80231779794530356</v>
      </c>
      <c r="V70" s="31"/>
      <c r="W70" s="31"/>
      <c r="X70" s="31"/>
      <c r="Y70" s="31"/>
      <c r="Z70" s="31">
        <v>-1.1998659084607863</v>
      </c>
      <c r="AA70" s="32">
        <v>-1.5931053300224614</v>
      </c>
      <c r="AK70" s="36"/>
      <c r="AL70" s="9">
        <v>2.2000000000000002</v>
      </c>
      <c r="AM70" s="67">
        <f t="shared" si="44"/>
        <v>115.63900353929401</v>
      </c>
      <c r="AN70" s="10"/>
      <c r="AO70" s="10">
        <v>23</v>
      </c>
      <c r="AP70" s="67">
        <f t="shared" si="45"/>
        <v>136.5812005198097</v>
      </c>
      <c r="AQ70" s="68">
        <v>265.73</v>
      </c>
      <c r="AS70" s="64"/>
    </row>
    <row r="71" spans="1:45">
      <c r="A71" s="62">
        <v>3000</v>
      </c>
      <c r="B71" s="31">
        <v>2.1158150558386248</v>
      </c>
      <c r="C71" s="31">
        <v>2.1210102239508504</v>
      </c>
      <c r="D71" s="31">
        <v>2.129648050572909</v>
      </c>
      <c r="E71" s="32">
        <v>2.1416974863015881</v>
      </c>
      <c r="G71" s="62">
        <v>3000</v>
      </c>
      <c r="H71" s="31">
        <v>2.8841849441613756</v>
      </c>
      <c r="I71" s="31">
        <v>2.8789897760491496</v>
      </c>
      <c r="J71" s="31">
        <v>2.870351949427091</v>
      </c>
      <c r="K71" s="32">
        <v>2.8583025136984124</v>
      </c>
      <c r="M71" s="62">
        <v>3000</v>
      </c>
      <c r="N71" s="31">
        <v>0.41598821310019835</v>
      </c>
      <c r="O71" s="31">
        <v>0.83047782001417769</v>
      </c>
      <c r="P71" s="31">
        <v>1.2419792088867219</v>
      </c>
      <c r="Q71" s="32">
        <v>1.6490206809798533</v>
      </c>
      <c r="S71" s="62">
        <v>3000</v>
      </c>
      <c r="T71" s="31">
        <v>-0.41598821310019835</v>
      </c>
      <c r="U71" s="31">
        <v>-0.83047782001417769</v>
      </c>
      <c r="V71" s="31"/>
      <c r="W71" s="31"/>
      <c r="X71" s="31"/>
      <c r="Y71" s="31"/>
      <c r="Z71" s="31">
        <v>-1.2419792088867219</v>
      </c>
      <c r="AA71" s="32">
        <v>-1.6490206809798533</v>
      </c>
      <c r="AK71" s="36"/>
      <c r="AL71" s="9">
        <v>2.2999999999999998</v>
      </c>
      <c r="AM71" s="67">
        <f t="shared" si="44"/>
        <v>126.32232220705752</v>
      </c>
      <c r="AN71" s="10"/>
      <c r="AO71" s="10">
        <v>24</v>
      </c>
      <c r="AP71" s="67">
        <f t="shared" si="45"/>
        <v>142.44568805774404</v>
      </c>
      <c r="AQ71" s="68">
        <v>277.05</v>
      </c>
      <c r="AS71" s="64"/>
    </row>
    <row r="72" spans="1:45">
      <c r="A72" s="62">
        <v>3200</v>
      </c>
      <c r="B72" s="31">
        <v>2.2073999359702063</v>
      </c>
      <c r="C72" s="31">
        <v>2.212430135865056</v>
      </c>
      <c r="D72" s="31">
        <v>2.220793675528721</v>
      </c>
      <c r="E72" s="32">
        <v>2.232460491505813</v>
      </c>
      <c r="G72" s="62">
        <v>3200</v>
      </c>
      <c r="H72" s="31">
        <v>2.7926000640297937</v>
      </c>
      <c r="I72" s="31">
        <v>2.787569864134944</v>
      </c>
      <c r="J72" s="31">
        <v>2.779206324471279</v>
      </c>
      <c r="K72" s="32">
        <v>2.767539508494187</v>
      </c>
      <c r="M72" s="62">
        <v>3200</v>
      </c>
      <c r="N72" s="31">
        <v>0.42963077908150671</v>
      </c>
      <c r="O72" s="31">
        <v>0.85771380434921374</v>
      </c>
      <c r="P72" s="31">
        <v>1.2827106112944364</v>
      </c>
      <c r="Q72" s="32">
        <v>1.7031012359964228</v>
      </c>
      <c r="S72" s="62">
        <v>3200</v>
      </c>
      <c r="T72" s="31">
        <v>-0.42963077908150671</v>
      </c>
      <c r="U72" s="31">
        <v>-0.85771380434921374</v>
      </c>
      <c r="V72" s="31"/>
      <c r="W72" s="31"/>
      <c r="X72" s="31"/>
      <c r="Y72" s="31"/>
      <c r="Z72" s="31">
        <v>-1.2827106112944364</v>
      </c>
      <c r="AA72" s="32">
        <v>-1.7031012359964228</v>
      </c>
      <c r="AK72" s="36"/>
      <c r="AL72" s="9">
        <v>2.4</v>
      </c>
      <c r="AM72" s="67">
        <f t="shared" si="44"/>
        <v>137.46812358640614</v>
      </c>
      <c r="AN72" s="10"/>
      <c r="AO72" s="10">
        <v>25</v>
      </c>
      <c r="AP72" s="67">
        <f t="shared" si="45"/>
        <v>148.30407325251537</v>
      </c>
      <c r="AQ72" s="68">
        <v>288.35000000000002</v>
      </c>
      <c r="AS72" s="64"/>
    </row>
    <row r="73" spans="1:45">
      <c r="A73" s="62">
        <v>3400</v>
      </c>
      <c r="B73" s="31">
        <v>2.2907799919761223</v>
      </c>
      <c r="C73" s="31">
        <v>2.2956600026783427</v>
      </c>
      <c r="D73" s="31">
        <v>2.3037738279577153</v>
      </c>
      <c r="E73" s="32">
        <v>2.315092301978467</v>
      </c>
      <c r="G73" s="62">
        <v>3400</v>
      </c>
      <c r="H73" s="31">
        <v>2.7092200080238777</v>
      </c>
      <c r="I73" s="31">
        <v>2.7043399973216578</v>
      </c>
      <c r="J73" s="31">
        <v>2.6962261720422851</v>
      </c>
      <c r="K73" s="32">
        <v>2.6849076980215334</v>
      </c>
      <c r="M73" s="62">
        <v>3400</v>
      </c>
      <c r="N73" s="31">
        <v>0.44285327054236473</v>
      </c>
      <c r="O73" s="31">
        <v>0.8841111529705421</v>
      </c>
      <c r="P73" s="31">
        <v>1.3221878343668896</v>
      </c>
      <c r="Q73" s="32">
        <v>1.7555165717833106</v>
      </c>
      <c r="S73" s="62">
        <v>3400</v>
      </c>
      <c r="T73" s="31">
        <v>-0.44285327054236473</v>
      </c>
      <c r="U73" s="31">
        <v>-0.8841111529705421</v>
      </c>
      <c r="V73" s="31"/>
      <c r="W73" s="31"/>
      <c r="X73" s="31"/>
      <c r="Y73" s="31"/>
      <c r="Z73" s="31">
        <v>-1.3221878343668896</v>
      </c>
      <c r="AA73" s="32">
        <v>-1.7555165717833106</v>
      </c>
      <c r="AK73" s="46"/>
      <c r="AL73" s="58">
        <v>2.5</v>
      </c>
      <c r="AM73" s="70">
        <f t="shared" si="44"/>
        <v>149.07481437502534</v>
      </c>
      <c r="AN73" s="59"/>
      <c r="AO73" s="59"/>
      <c r="AP73" s="59"/>
      <c r="AQ73" s="71"/>
      <c r="AR73" s="71"/>
      <c r="AS73" s="72"/>
    </row>
    <row r="74" spans="1:45">
      <c r="A74" s="62">
        <v>3600</v>
      </c>
      <c r="B74" s="31">
        <v>2.3671114101100619</v>
      </c>
      <c r="C74" s="31">
        <v>2.3718539280518915</v>
      </c>
      <c r="D74" s="31">
        <v>2.3797391488664252</v>
      </c>
      <c r="E74" s="32">
        <v>2.3907387284561015</v>
      </c>
      <c r="G74" s="62">
        <v>3600</v>
      </c>
      <c r="H74" s="31">
        <v>2.6328885898899386</v>
      </c>
      <c r="I74" s="31">
        <v>2.6281460719481093</v>
      </c>
      <c r="J74" s="31">
        <v>2.6202608511335757</v>
      </c>
      <c r="K74" s="32">
        <v>2.609261271543899</v>
      </c>
      <c r="M74" s="62">
        <v>3600</v>
      </c>
      <c r="N74" s="31">
        <v>0.45569225594248935</v>
      </c>
      <c r="O74" s="31">
        <v>0.90974287105896079</v>
      </c>
      <c r="P74" s="31">
        <v>1.3605200573193565</v>
      </c>
      <c r="Q74" s="32">
        <v>1.8064116495303915</v>
      </c>
      <c r="S74" s="62">
        <v>3600</v>
      </c>
      <c r="T74" s="31">
        <v>-0.45569225594248935</v>
      </c>
      <c r="U74" s="31">
        <v>-0.90974287105896079</v>
      </c>
      <c r="V74" s="31"/>
      <c r="W74" s="31"/>
      <c r="X74" s="31"/>
      <c r="Y74" s="31"/>
      <c r="Z74" s="31">
        <v>-1.3605200573193565</v>
      </c>
      <c r="AA74" s="32">
        <v>-1.8064116495303915</v>
      </c>
    </row>
    <row r="75" spans="1:45">
      <c r="A75" s="62">
        <v>3800</v>
      </c>
      <c r="B75" s="31">
        <v>2.4373344276145086</v>
      </c>
      <c r="C75" s="31">
        <v>2.4419504556160789</v>
      </c>
      <c r="D75" s="31">
        <v>2.4496253659748599</v>
      </c>
      <c r="E75" s="32">
        <v>2.4603315705721291</v>
      </c>
      <c r="G75" s="62">
        <v>3800</v>
      </c>
      <c r="H75" s="31">
        <v>2.5626655723854919</v>
      </c>
      <c r="I75" s="31">
        <v>2.5580495443839215</v>
      </c>
      <c r="J75" s="31">
        <v>2.5503746340251405</v>
      </c>
      <c r="K75" s="32">
        <v>2.5396684294278709</v>
      </c>
      <c r="M75" s="62">
        <v>3800</v>
      </c>
      <c r="N75" s="31">
        <v>0.46817928726273406</v>
      </c>
      <c r="O75" s="31">
        <v>0.93467194890950978</v>
      </c>
      <c r="P75" s="31">
        <v>1.3978014821099325</v>
      </c>
      <c r="Q75" s="32">
        <v>1.8559115445819057</v>
      </c>
      <c r="S75" s="62">
        <v>3800</v>
      </c>
      <c r="T75" s="31">
        <v>-0.46817928726273406</v>
      </c>
      <c r="U75" s="31">
        <v>-0.93467194890950978</v>
      </c>
      <c r="V75" s="31"/>
      <c r="W75" s="31"/>
      <c r="X75" s="31"/>
      <c r="Y75" s="31"/>
      <c r="Z75" s="31">
        <v>-1.3978014821099325</v>
      </c>
      <c r="AA75" s="32">
        <v>-1.8559115445819057</v>
      </c>
    </row>
    <row r="76" spans="1:45">
      <c r="A76" s="62">
        <v>4000</v>
      </c>
      <c r="B76" s="31">
        <v>2.5022225691436466</v>
      </c>
      <c r="C76" s="31">
        <v>2.5067217167057647</v>
      </c>
      <c r="D76" s="31">
        <v>2.5142022939939532</v>
      </c>
      <c r="E76" s="32">
        <v>2.5246374114362564</v>
      </c>
      <c r="G76" s="62">
        <v>4000</v>
      </c>
      <c r="H76" s="31">
        <v>2.4977774308563534</v>
      </c>
      <c r="I76" s="31">
        <v>2.4932782832942353</v>
      </c>
      <c r="J76" s="31">
        <v>2.4857977060060468</v>
      </c>
      <c r="K76" s="32">
        <v>2.4753625885637436</v>
      </c>
      <c r="M76" s="62">
        <v>4000</v>
      </c>
      <c r="N76" s="31">
        <v>0.48034181362622186</v>
      </c>
      <c r="O76" s="31">
        <v>0.9589531858823982</v>
      </c>
      <c r="P76" s="31">
        <v>1.4341140611573346</v>
      </c>
      <c r="Q76" s="32">
        <v>1.9041250681259567</v>
      </c>
      <c r="S76" s="62">
        <v>4000</v>
      </c>
      <c r="T76" s="31">
        <v>-0.48034181362622186</v>
      </c>
      <c r="U76" s="31">
        <v>-0.9589531858823982</v>
      </c>
      <c r="V76" s="31"/>
      <c r="W76" s="31"/>
      <c r="X76" s="31"/>
      <c r="Y76" s="31"/>
      <c r="Z76" s="31">
        <v>-1.4341140611573346</v>
      </c>
      <c r="AA76" s="32">
        <v>-1.9041250681259567</v>
      </c>
    </row>
    <row r="77" spans="1:45">
      <c r="A77" s="62">
        <v>4200</v>
      </c>
      <c r="B77" s="31">
        <v>2.5624188230180849</v>
      </c>
      <c r="C77" s="31">
        <v>2.5668095414521623</v>
      </c>
      <c r="D77" s="31">
        <v>2.5741098373734026</v>
      </c>
      <c r="E77" s="32">
        <v>2.5842934692465733</v>
      </c>
      <c r="G77" s="62">
        <v>4200</v>
      </c>
      <c r="H77" s="31">
        <v>2.4375811769819156</v>
      </c>
      <c r="I77" s="31">
        <v>2.4331904585478381</v>
      </c>
      <c r="J77" s="31">
        <v>2.4258901626265978</v>
      </c>
      <c r="K77" s="32">
        <v>2.4157065307534276</v>
      </c>
      <c r="M77" s="62">
        <v>4200</v>
      </c>
      <c r="N77" s="31">
        <v>0.49220389150596366</v>
      </c>
      <c r="O77" s="31">
        <v>0.98263460825970383</v>
      </c>
      <c r="P77" s="31">
        <v>1.4695296177449584</v>
      </c>
      <c r="Q77" s="32">
        <v>1.9511475825316145</v>
      </c>
      <c r="S77" s="62">
        <v>4200</v>
      </c>
      <c r="T77" s="31">
        <v>-0.49220389150596366</v>
      </c>
      <c r="U77" s="31">
        <v>-0.98263460825970383</v>
      </c>
      <c r="V77" s="31"/>
      <c r="W77" s="31"/>
      <c r="X77" s="31"/>
      <c r="Y77" s="31"/>
      <c r="Z77" s="31">
        <v>-1.4695296177449584</v>
      </c>
      <c r="AA77" s="32">
        <v>-1.9511475825316145</v>
      </c>
    </row>
    <row r="78" spans="1:45">
      <c r="A78" s="62">
        <v>4400</v>
      </c>
      <c r="B78" s="31">
        <v>2.6184626634164978</v>
      </c>
      <c r="C78" s="31">
        <v>2.6227524323004729</v>
      </c>
      <c r="D78" s="31">
        <v>2.6298848828907211</v>
      </c>
      <c r="E78" s="32">
        <v>2.6398343769863413</v>
      </c>
      <c r="G78" s="62">
        <v>4400</v>
      </c>
      <c r="H78" s="31">
        <v>2.3815373365835022</v>
      </c>
      <c r="I78" s="31">
        <v>2.3772475676995266</v>
      </c>
      <c r="J78" s="31">
        <v>2.3701151171092789</v>
      </c>
      <c r="K78" s="32">
        <v>2.3601656230136583</v>
      </c>
      <c r="M78" s="62">
        <v>4400</v>
      </c>
      <c r="N78" s="31">
        <v>0.50378674427727932</v>
      </c>
      <c r="O78" s="31">
        <v>1.0057585863344152</v>
      </c>
      <c r="P78" s="31">
        <v>1.5041115166270427</v>
      </c>
      <c r="Q78" s="32">
        <v>1.997063219473096</v>
      </c>
      <c r="S78" s="62">
        <v>4400</v>
      </c>
      <c r="T78" s="31">
        <v>-0.50378674427727932</v>
      </c>
      <c r="U78" s="31">
        <v>-1.0057585863344152</v>
      </c>
      <c r="V78" s="31"/>
      <c r="W78" s="31"/>
      <c r="X78" s="31"/>
      <c r="Y78" s="31"/>
      <c r="Z78" s="31">
        <v>-1.5041115166270427</v>
      </c>
      <c r="AA78" s="32">
        <v>-1.997063219473096</v>
      </c>
    </row>
    <row r="79" spans="1:45">
      <c r="A79" s="62">
        <v>4600</v>
      </c>
      <c r="B79" s="31">
        <v>2.6708105358123126</v>
      </c>
      <c r="C79" s="31">
        <v>2.6750060125469708</v>
      </c>
      <c r="D79" s="31">
        <v>2.6819816868366195</v>
      </c>
      <c r="E79" s="32">
        <v>2.6917124840261195</v>
      </c>
      <c r="G79" s="62">
        <v>4600</v>
      </c>
      <c r="H79" s="31">
        <v>2.3291894641876874</v>
      </c>
      <c r="I79" s="31">
        <v>2.3249939874530292</v>
      </c>
      <c r="J79" s="31">
        <v>2.3180183131633805</v>
      </c>
      <c r="K79" s="32">
        <v>2.30828751597388</v>
      </c>
      <c r="M79" s="62">
        <v>4600</v>
      </c>
      <c r="N79" s="31">
        <v>0.51510920842612318</v>
      </c>
      <c r="O79" s="31">
        <v>1.0283627252196093</v>
      </c>
      <c r="P79" s="31">
        <v>1.5379159962333966</v>
      </c>
      <c r="Q79" s="32">
        <v>2.0419466487461251</v>
      </c>
      <c r="S79" s="62">
        <v>4600</v>
      </c>
      <c r="T79" s="31">
        <v>-0.51510920842612318</v>
      </c>
      <c r="U79" s="31">
        <v>-1.0283627252196093</v>
      </c>
      <c r="V79" s="31"/>
      <c r="W79" s="31"/>
      <c r="X79" s="31"/>
      <c r="Y79" s="31"/>
      <c r="Z79" s="31">
        <v>-1.5379159962333966</v>
      </c>
      <c r="AA79" s="32">
        <v>-2.0419466487461251</v>
      </c>
    </row>
    <row r="80" spans="1:45">
      <c r="A80" s="62">
        <v>4800</v>
      </c>
      <c r="B80" s="31">
        <v>2.7198515958211247</v>
      </c>
      <c r="C80" s="31">
        <v>2.7239587368366527</v>
      </c>
      <c r="D80" s="31">
        <v>2.7307875383764881</v>
      </c>
      <c r="E80" s="32">
        <v>2.7403134537320972</v>
      </c>
      <c r="G80" s="62">
        <v>4800</v>
      </c>
      <c r="H80" s="31">
        <v>2.2801484041788753</v>
      </c>
      <c r="I80" s="31">
        <v>2.2760412631633478</v>
      </c>
      <c r="J80" s="31">
        <v>2.2692124616235114</v>
      </c>
      <c r="K80" s="32">
        <v>2.2596865462679028</v>
      </c>
      <c r="M80" s="62">
        <v>4800</v>
      </c>
      <c r="N80" s="31">
        <v>0.52618809327204819</v>
      </c>
      <c r="O80" s="31">
        <v>1.0504805829984682</v>
      </c>
      <c r="P80" s="31">
        <v>1.5709932426624309</v>
      </c>
      <c r="Q80" s="32">
        <v>2.0858645042472954</v>
      </c>
      <c r="S80" s="62">
        <v>4800</v>
      </c>
      <c r="T80" s="31">
        <v>-0.52618809327204819</v>
      </c>
      <c r="U80" s="31">
        <v>-1.0504805829984682</v>
      </c>
      <c r="V80" s="31"/>
      <c r="W80" s="31"/>
      <c r="X80" s="31"/>
      <c r="Y80" s="31"/>
      <c r="Z80" s="31">
        <v>-1.5709932426624309</v>
      </c>
      <c r="AA80" s="32">
        <v>-2.0858645042472954</v>
      </c>
    </row>
    <row r="81" spans="1:39">
      <c r="A81" s="62">
        <v>5000</v>
      </c>
      <c r="B81" s="31">
        <v>2.7659199487761654</v>
      </c>
      <c r="C81" s="31">
        <v>2.7699441086920453</v>
      </c>
      <c r="D81" s="31">
        <v>2.7766349404229769</v>
      </c>
      <c r="E81" s="32">
        <v>2.7859683932046511</v>
      </c>
      <c r="G81" s="62">
        <v>5000</v>
      </c>
      <c r="H81" s="31">
        <v>2.234080051223835</v>
      </c>
      <c r="I81" s="31">
        <v>2.2300558913079556</v>
      </c>
      <c r="J81" s="31">
        <v>2.2233650595770231</v>
      </c>
      <c r="K81" s="32">
        <v>2.2140316067953498</v>
      </c>
      <c r="M81" s="62">
        <v>5000</v>
      </c>
      <c r="N81" s="31">
        <v>0.53703847385188341</v>
      </c>
      <c r="O81" s="31">
        <v>1.072142255436517</v>
      </c>
      <c r="P81" s="31">
        <v>1.6033882641180455</v>
      </c>
      <c r="Q81" s="32">
        <v>2.1288765449955287</v>
      </c>
      <c r="S81" s="62">
        <v>5000</v>
      </c>
      <c r="T81" s="31">
        <v>-0.53703847385188341</v>
      </c>
      <c r="U81" s="31">
        <v>-1.072142255436517</v>
      </c>
      <c r="V81" s="31"/>
      <c r="W81" s="31"/>
      <c r="X81" s="31"/>
      <c r="Y81" s="31"/>
      <c r="Z81" s="31">
        <v>-1.6033882641180455</v>
      </c>
      <c r="AA81" s="32">
        <v>-2.1288765449955287</v>
      </c>
    </row>
    <row r="82" spans="1:39">
      <c r="A82" s="73">
        <v>5200</v>
      </c>
      <c r="B82" s="41">
        <v>2.8093042738233263</v>
      </c>
      <c r="C82" s="41">
        <v>2.8132502872727287</v>
      </c>
      <c r="D82" s="41">
        <v>2.8198111875723799</v>
      </c>
      <c r="E82" s="42">
        <v>2.8289633910075631</v>
      </c>
      <c r="G82" s="73">
        <v>5200</v>
      </c>
      <c r="H82" s="41">
        <v>2.1906957261766733</v>
      </c>
      <c r="I82" s="41">
        <v>2.1867497127272717</v>
      </c>
      <c r="J82" s="41">
        <v>2.1801888124276201</v>
      </c>
      <c r="K82" s="42">
        <v>2.1710366089924373</v>
      </c>
      <c r="M82" s="73">
        <v>5200</v>
      </c>
      <c r="N82" s="41">
        <v>0.54767393154416844</v>
      </c>
      <c r="O82" s="41">
        <v>1.0933748563636361</v>
      </c>
      <c r="P82" s="41">
        <v>1.6351416093207152</v>
      </c>
      <c r="Q82" s="42">
        <v>2.1710366089924378</v>
      </c>
      <c r="S82" s="73">
        <v>5200</v>
      </c>
      <c r="T82" s="41">
        <v>-0.54767393154416844</v>
      </c>
      <c r="U82" s="41">
        <v>-1.0933748563636361</v>
      </c>
      <c r="V82" s="41"/>
      <c r="W82" s="41"/>
      <c r="X82" s="41"/>
      <c r="Y82" s="41"/>
      <c r="Z82" s="41">
        <v>-1.6351416093207152</v>
      </c>
      <c r="AA82" s="42">
        <v>-2.1710366089924378</v>
      </c>
    </row>
    <row r="84" spans="1:39">
      <c r="A84" s="53"/>
      <c r="B84" s="6" t="s">
        <v>48</v>
      </c>
      <c r="C84" s="6"/>
      <c r="D84" s="6"/>
      <c r="E84" s="7"/>
      <c r="G84" s="53"/>
      <c r="H84" s="6" t="s">
        <v>53</v>
      </c>
      <c r="I84" s="6"/>
      <c r="J84" s="6"/>
      <c r="K84" s="7"/>
      <c r="M84" s="53"/>
      <c r="N84" s="6" t="s">
        <v>47</v>
      </c>
      <c r="O84" s="6"/>
      <c r="P84" s="6"/>
      <c r="Q84" s="7"/>
      <c r="S84" s="53"/>
      <c r="T84" s="6" t="s">
        <v>52</v>
      </c>
      <c r="U84" s="6"/>
      <c r="V84" s="6"/>
      <c r="W84" s="6"/>
      <c r="X84" s="6"/>
      <c r="Y84" s="6"/>
      <c r="Z84" s="6"/>
      <c r="AA84" s="7"/>
      <c r="AC84" s="53"/>
      <c r="AD84" s="6" t="s">
        <v>45</v>
      </c>
      <c r="AE84" s="6"/>
      <c r="AF84" s="6"/>
      <c r="AG84" s="7"/>
      <c r="AI84" s="53"/>
      <c r="AJ84" s="6" t="s">
        <v>50</v>
      </c>
      <c r="AK84" s="6"/>
      <c r="AL84" s="6"/>
      <c r="AM84" s="7"/>
    </row>
    <row r="85" spans="1:39">
      <c r="A85" s="54"/>
      <c r="B85" s="14" t="s">
        <v>13</v>
      </c>
      <c r="C85" s="55" t="s">
        <v>14</v>
      </c>
      <c r="D85" s="55" t="s">
        <v>15</v>
      </c>
      <c r="E85" s="56" t="s">
        <v>16</v>
      </c>
      <c r="G85" s="54"/>
      <c r="H85" s="14" t="s">
        <v>13</v>
      </c>
      <c r="I85" s="55" t="s">
        <v>14</v>
      </c>
      <c r="J85" s="55" t="s">
        <v>15</v>
      </c>
      <c r="K85" s="56" t="s">
        <v>16</v>
      </c>
      <c r="M85" s="54"/>
      <c r="N85" s="14" t="s">
        <v>13</v>
      </c>
      <c r="O85" s="55" t="s">
        <v>14</v>
      </c>
      <c r="P85" s="55" t="s">
        <v>15</v>
      </c>
      <c r="Q85" s="56" t="s">
        <v>16</v>
      </c>
      <c r="S85" s="54"/>
      <c r="T85" s="14" t="s">
        <v>13</v>
      </c>
      <c r="U85" s="55" t="s">
        <v>14</v>
      </c>
      <c r="V85" s="55"/>
      <c r="W85" s="55"/>
      <c r="X85" s="55"/>
      <c r="Y85" s="55"/>
      <c r="Z85" s="55" t="s">
        <v>15</v>
      </c>
      <c r="AA85" s="56" t="s">
        <v>16</v>
      </c>
      <c r="AC85" s="54"/>
      <c r="AD85" s="14" t="s">
        <v>13</v>
      </c>
      <c r="AE85" s="55" t="s">
        <v>14</v>
      </c>
      <c r="AF85" s="55" t="s">
        <v>15</v>
      </c>
      <c r="AG85" s="56" t="s">
        <v>16</v>
      </c>
      <c r="AI85" s="54"/>
      <c r="AJ85" s="14" t="s">
        <v>13</v>
      </c>
      <c r="AK85" s="55" t="s">
        <v>14</v>
      </c>
      <c r="AL85" s="55" t="s">
        <v>15</v>
      </c>
      <c r="AM85" s="56" t="s">
        <v>16</v>
      </c>
    </row>
    <row r="86" spans="1:39">
      <c r="A86" s="62">
        <v>10</v>
      </c>
      <c r="B86" s="31">
        <v>-0.86491552507398273</v>
      </c>
      <c r="C86" s="31">
        <v>-0.86508856921098709</v>
      </c>
      <c r="D86" s="31">
        <v>-0.86537628372207143</v>
      </c>
      <c r="E86" s="32">
        <v>-0.86577763439292921</v>
      </c>
      <c r="G86" s="62">
        <v>10</v>
      </c>
      <c r="H86" s="31">
        <v>-9.9764454601395228E-2</v>
      </c>
      <c r="I86" s="31">
        <v>-9.9591410464390684E-2</v>
      </c>
      <c r="J86" s="31">
        <v>-9.9303695953306528E-2</v>
      </c>
      <c r="K86" s="32">
        <v>-9.8902345282448692E-2</v>
      </c>
      <c r="M86" s="62">
        <v>10</v>
      </c>
      <c r="N86" s="31">
        <v>0.28412220281051193</v>
      </c>
      <c r="O86" s="31">
        <v>2.8191514060827955E-2</v>
      </c>
      <c r="P86" s="31">
        <v>-0.39631107305489638</v>
      </c>
      <c r="Q86" s="32">
        <v>1.3986336536350978</v>
      </c>
      <c r="S86" s="62">
        <v>10</v>
      </c>
      <c r="T86" s="31">
        <v>0.12817937754389611</v>
      </c>
      <c r="U86" s="31">
        <v>0.38411006629358013</v>
      </c>
      <c r="V86" s="31"/>
      <c r="W86" s="31"/>
      <c r="X86" s="31"/>
      <c r="Y86" s="31"/>
      <c r="Z86" s="31">
        <v>0.80861265340930433</v>
      </c>
      <c r="AA86" s="32">
        <v>1.3986336536350978</v>
      </c>
      <c r="AC86" s="62">
        <v>10</v>
      </c>
      <c r="AD86" s="31">
        <v>2.4977774308563525</v>
      </c>
      <c r="AE86" s="31">
        <v>2.4932782832942344</v>
      </c>
      <c r="AF86" s="31">
        <v>2.4857977060060459</v>
      </c>
      <c r="AG86" s="32">
        <v>2.4753625885637427</v>
      </c>
      <c r="AI86" s="62">
        <v>10</v>
      </c>
      <c r="AJ86" s="31">
        <v>-2.4977774308563525</v>
      </c>
      <c r="AK86" s="31">
        <v>-2.4932782832942344</v>
      </c>
      <c r="AL86" s="31">
        <v>-2.4857977060060459</v>
      </c>
      <c r="AM86" s="32">
        <v>-2.4753625885637427</v>
      </c>
    </row>
    <row r="87" spans="1:39">
      <c r="A87" s="62">
        <v>22.857142857142858</v>
      </c>
      <c r="B87" s="31">
        <v>-0.81574217543800187</v>
      </c>
      <c r="C87" s="31">
        <v>-0.81600379358220299</v>
      </c>
      <c r="D87" s="31">
        <v>-0.81643877703643908</v>
      </c>
      <c r="E87" s="32">
        <v>-0.81704556221564983</v>
      </c>
      <c r="G87" s="62">
        <v>22.857142857142858</v>
      </c>
      <c r="H87" s="31">
        <v>-0.14893780423737596</v>
      </c>
      <c r="I87" s="31">
        <v>-0.1486761860931749</v>
      </c>
      <c r="J87" s="31">
        <v>-0.14824120263893875</v>
      </c>
      <c r="K87" s="32">
        <v>-0.14763441745972808</v>
      </c>
      <c r="M87" s="62">
        <v>22.857142857142858</v>
      </c>
      <c r="N87" s="31">
        <v>0.21932115849569891</v>
      </c>
      <c r="O87" s="31">
        <v>-0.16760967310495245</v>
      </c>
      <c r="P87" s="31">
        <v>-0.80939725962594566</v>
      </c>
      <c r="Q87" s="32">
        <v>2.1137267456392306</v>
      </c>
      <c r="S87" s="62">
        <v>22.857142857142858</v>
      </c>
      <c r="T87" s="31">
        <v>0.19298042185870906</v>
      </c>
      <c r="U87" s="31">
        <v>0.57991125345936045</v>
      </c>
      <c r="V87" s="31"/>
      <c r="W87" s="31"/>
      <c r="X87" s="31"/>
      <c r="Y87" s="31"/>
      <c r="Z87" s="31">
        <v>1.2216988399803537</v>
      </c>
      <c r="AA87" s="32">
        <v>2.1137267456392306</v>
      </c>
      <c r="AC87" s="62">
        <v>22.857142857142858</v>
      </c>
      <c r="AD87" s="31">
        <v>0.72280445917265912</v>
      </c>
      <c r="AE87" s="31">
        <v>0.72150250012690853</v>
      </c>
      <c r="AF87" s="31">
        <v>0.7193377777804365</v>
      </c>
      <c r="AG87" s="32">
        <v>0.71631807341202081</v>
      </c>
      <c r="AI87" s="62">
        <v>22.857142857142858</v>
      </c>
      <c r="AJ87" s="31">
        <v>-0.72280445917265912</v>
      </c>
      <c r="AK87" s="31">
        <v>-0.72150250012690853</v>
      </c>
      <c r="AL87" s="31">
        <v>-0.7193377777804365</v>
      </c>
      <c r="AM87" s="32">
        <v>-0.71631807341202081</v>
      </c>
    </row>
    <row r="88" spans="1:39">
      <c r="A88" s="62">
        <v>35.714285714285715</v>
      </c>
      <c r="B88" s="31">
        <v>-0.7794317473476956</v>
      </c>
      <c r="C88" s="31">
        <v>-0.77975877002794691</v>
      </c>
      <c r="D88" s="31">
        <v>-0.78030249934574214</v>
      </c>
      <c r="E88" s="32">
        <v>-0.7810609808197555</v>
      </c>
      <c r="G88" s="62">
        <v>35.714285714285715</v>
      </c>
      <c r="H88" s="31">
        <v>-0.18524823232768223</v>
      </c>
      <c r="I88" s="31">
        <v>-0.18492120964743095</v>
      </c>
      <c r="J88" s="31">
        <v>-0.18437748032963575</v>
      </c>
      <c r="K88" s="32">
        <v>-0.18361899885562238</v>
      </c>
      <c r="M88" s="62">
        <v>35.714285714285715</v>
      </c>
      <c r="N88" s="31">
        <v>0.17147097791641866</v>
      </c>
      <c r="O88" s="31">
        <v>-0.31219256158439562</v>
      </c>
      <c r="P88" s="31">
        <v>-1.114427044735637</v>
      </c>
      <c r="Q88" s="32">
        <v>2.6417635071636409</v>
      </c>
      <c r="S88" s="62">
        <v>35.714285714285715</v>
      </c>
      <c r="T88" s="31">
        <v>0.24083060243798937</v>
      </c>
      <c r="U88" s="31">
        <v>0.72449414193880368</v>
      </c>
      <c r="V88" s="31"/>
      <c r="W88" s="31"/>
      <c r="X88" s="31"/>
      <c r="Y88" s="31"/>
      <c r="Z88" s="31">
        <v>1.5267286250900451</v>
      </c>
      <c r="AA88" s="32">
        <v>2.6417635071636409</v>
      </c>
      <c r="AC88" s="62">
        <v>35.714285714285715</v>
      </c>
      <c r="AD88" s="31">
        <v>0.37007588309640155</v>
      </c>
      <c r="AE88" s="31">
        <v>0.36940928006497725</v>
      </c>
      <c r="AF88" s="31">
        <v>0.36830094222358362</v>
      </c>
      <c r="AG88" s="32">
        <v>0.3667548535869547</v>
      </c>
      <c r="AI88" s="62">
        <v>35.714285714285715</v>
      </c>
      <c r="AJ88" s="31">
        <v>-0.37007588309640155</v>
      </c>
      <c r="AK88" s="31">
        <v>-0.36940928006497725</v>
      </c>
      <c r="AL88" s="31">
        <v>-0.36830094222358362</v>
      </c>
      <c r="AM88" s="32">
        <v>-0.3667548535869547</v>
      </c>
    </row>
    <row r="89" spans="1:39">
      <c r="A89" s="62">
        <v>48.571428571428569</v>
      </c>
      <c r="B89" s="31">
        <v>-0.74925952832341158</v>
      </c>
      <c r="C89" s="31">
        <v>-0.74964089902682529</v>
      </c>
      <c r="D89" s="31">
        <v>-0.75027499092600147</v>
      </c>
      <c r="E89" s="32">
        <v>-0.75115952472362213</v>
      </c>
      <c r="G89" s="62">
        <v>48.571428571428569</v>
      </c>
      <c r="H89" s="31">
        <v>-0.21542045135196627</v>
      </c>
      <c r="I89" s="31">
        <v>-0.21503908064855254</v>
      </c>
      <c r="J89" s="31">
        <v>-0.21440498874937641</v>
      </c>
      <c r="K89" s="32">
        <v>-0.21352045495175573</v>
      </c>
      <c r="M89" s="62">
        <v>48.571428571428569</v>
      </c>
      <c r="N89" s="31">
        <v>0.13170977969537584</v>
      </c>
      <c r="O89" s="31">
        <v>-0.43233398672859574</v>
      </c>
      <c r="P89" s="31">
        <v>-1.3678921226567906</v>
      </c>
      <c r="Q89" s="32">
        <v>3.0805366547003259</v>
      </c>
      <c r="S89" s="62">
        <v>48.571428571428569</v>
      </c>
      <c r="T89" s="31">
        <v>0.28059180065903222</v>
      </c>
      <c r="U89" s="31">
        <v>0.84463556708300369</v>
      </c>
      <c r="V89" s="31"/>
      <c r="W89" s="31"/>
      <c r="X89" s="31"/>
      <c r="Y89" s="31"/>
      <c r="Z89" s="31">
        <v>1.7801937030111985</v>
      </c>
      <c r="AA89" s="32">
        <v>3.0805366547003259</v>
      </c>
      <c r="AC89" s="62">
        <v>48.571428571428569</v>
      </c>
      <c r="AD89" s="31">
        <v>0.23333636156763748</v>
      </c>
      <c r="AE89" s="31">
        <v>0.23291606202079568</v>
      </c>
      <c r="AF89" s="31">
        <v>0.23221724447793202</v>
      </c>
      <c r="AG89" s="32">
        <v>0.23124242089820127</v>
      </c>
      <c r="AI89" s="62">
        <v>48.571428571428569</v>
      </c>
      <c r="AJ89" s="31">
        <v>-0.23333636156763748</v>
      </c>
      <c r="AK89" s="31">
        <v>-0.23291606202079568</v>
      </c>
      <c r="AL89" s="31">
        <v>-0.23221724447793202</v>
      </c>
      <c r="AM89" s="32">
        <v>-0.23124242089820127</v>
      </c>
    </row>
    <row r="90" spans="1:39">
      <c r="A90" s="62">
        <v>61.428571428571431</v>
      </c>
      <c r="B90" s="31">
        <v>-0.72288048780595515</v>
      </c>
      <c r="C90" s="31">
        <v>-0.72330937403031526</v>
      </c>
      <c r="D90" s="31">
        <v>-0.72402246834537565</v>
      </c>
      <c r="E90" s="32">
        <v>-0.72501720747290865</v>
      </c>
      <c r="G90" s="62">
        <v>61.428571428571431</v>
      </c>
      <c r="H90" s="31">
        <v>-0.24179949186942282</v>
      </c>
      <c r="I90" s="31">
        <v>-0.24137060564506271</v>
      </c>
      <c r="J90" s="31">
        <v>-0.24065751133000218</v>
      </c>
      <c r="K90" s="32">
        <v>-0.23966277220246926</v>
      </c>
      <c r="M90" s="62">
        <v>61.428571428571431</v>
      </c>
      <c r="N90" s="31">
        <v>9.694726328743998E-2</v>
      </c>
      <c r="O90" s="31">
        <v>-0.53737152205714045</v>
      </c>
      <c r="P90" s="31">
        <v>-1.5894921831250315</v>
      </c>
      <c r="Q90" s="32">
        <v>3.464148301809427</v>
      </c>
      <c r="S90" s="62">
        <v>61.428571428571431</v>
      </c>
      <c r="T90" s="31">
        <v>0.31535431706696804</v>
      </c>
      <c r="U90" s="31">
        <v>0.94967310241154834</v>
      </c>
      <c r="V90" s="31"/>
      <c r="W90" s="31"/>
      <c r="X90" s="31"/>
      <c r="Y90" s="31"/>
      <c r="Z90" s="31">
        <v>2.0017937634794398</v>
      </c>
      <c r="AA90" s="32">
        <v>3.464148301809427</v>
      </c>
      <c r="AC90" s="62">
        <v>61.428571428571431</v>
      </c>
      <c r="AD90" s="31">
        <v>0.16405826478714342</v>
      </c>
      <c r="AE90" s="31">
        <v>0.16376275313228417</v>
      </c>
      <c r="AF90" s="31">
        <v>0.16327141610827819</v>
      </c>
      <c r="AG90" s="32">
        <v>0.16258601986789042</v>
      </c>
      <c r="AI90" s="62">
        <v>61.428571428571431</v>
      </c>
      <c r="AJ90" s="31">
        <v>-0.16405826478714342</v>
      </c>
      <c r="AK90" s="31">
        <v>-0.16376275313228417</v>
      </c>
      <c r="AL90" s="31">
        <v>-0.16327141610827819</v>
      </c>
      <c r="AM90" s="32">
        <v>-0.16258601986789042</v>
      </c>
    </row>
    <row r="91" spans="1:39">
      <c r="A91" s="62">
        <v>74.285714285714292</v>
      </c>
      <c r="B91" s="31">
        <v>-0.69914566717193249</v>
      </c>
      <c r="C91" s="31">
        <v>-0.69961730598868688</v>
      </c>
      <c r="D91" s="31">
        <v>-0.7004014835628003</v>
      </c>
      <c r="E91" s="32">
        <v>-0.70149538110121812</v>
      </c>
      <c r="G91" s="62">
        <v>74.285714285714292</v>
      </c>
      <c r="H91" s="31">
        <v>-0.26553431250344539</v>
      </c>
      <c r="I91" s="31">
        <v>-0.26506267368669112</v>
      </c>
      <c r="J91" s="31">
        <v>-0.26427849611257764</v>
      </c>
      <c r="K91" s="32">
        <v>-0.26318459857415977</v>
      </c>
      <c r="M91" s="62">
        <v>74.285714285714292</v>
      </c>
      <c r="N91" s="31">
        <v>6.5669321575207509E-2</v>
      </c>
      <c r="O91" s="31">
        <v>-0.63188015512182782</v>
      </c>
      <c r="P91" s="31">
        <v>-1.7888791807006892</v>
      </c>
      <c r="Q91" s="32">
        <v>3.8093069375540138</v>
      </c>
      <c r="S91" s="62">
        <v>74.285714285714292</v>
      </c>
      <c r="T91" s="31">
        <v>0.34663225877920056</v>
      </c>
      <c r="U91" s="31">
        <v>1.0441817354762357</v>
      </c>
      <c r="V91" s="31"/>
      <c r="W91" s="31"/>
      <c r="X91" s="31"/>
      <c r="Y91" s="31"/>
      <c r="Z91" s="31">
        <v>2.2011807610550971</v>
      </c>
      <c r="AA91" s="32">
        <v>3.8093069375540138</v>
      </c>
      <c r="AC91" s="62">
        <v>74.285714285714292</v>
      </c>
      <c r="AD91" s="31">
        <v>0.12336608471862914</v>
      </c>
      <c r="AE91" s="31">
        <v>0.12314387027611989</v>
      </c>
      <c r="AF91" s="31">
        <v>0.12277440199600877</v>
      </c>
      <c r="AG91" s="32">
        <v>0.12225900796348495</v>
      </c>
      <c r="AI91" s="62">
        <v>74.285714285714292</v>
      </c>
      <c r="AJ91" s="31">
        <v>-0.12336608471862914</v>
      </c>
      <c r="AK91" s="31">
        <v>-0.12314387027611989</v>
      </c>
      <c r="AL91" s="31">
        <v>-0.12277440199600877</v>
      </c>
      <c r="AM91" s="32">
        <v>-0.12225900796348495</v>
      </c>
    </row>
    <row r="92" spans="1:39">
      <c r="A92" s="62">
        <v>87.142857142857153</v>
      </c>
      <c r="B92" s="31">
        <v>-0.6773903785748806</v>
      </c>
      <c r="C92" s="31">
        <v>-0.67790120433136991</v>
      </c>
      <c r="D92" s="31">
        <v>-0.67875053667698804</v>
      </c>
      <c r="E92" s="32">
        <v>-0.67993532261430689</v>
      </c>
      <c r="G92" s="62">
        <v>87.142857142857153</v>
      </c>
      <c r="H92" s="31">
        <v>-0.28728960110049739</v>
      </c>
      <c r="I92" s="31">
        <v>-0.28677877534400797</v>
      </c>
      <c r="J92" s="31">
        <v>-0.28592944299838985</v>
      </c>
      <c r="K92" s="32">
        <v>-0.28474465706107099</v>
      </c>
      <c r="M92" s="62">
        <v>87.142857142857153</v>
      </c>
      <c r="N92" s="31">
        <v>3.7000023451421199E-2</v>
      </c>
      <c r="O92" s="31">
        <v>-0.71850657707539878</v>
      </c>
      <c r="P92" s="31">
        <v>-1.9716368994820241</v>
      </c>
      <c r="Q92" s="32">
        <v>4.125678645104415</v>
      </c>
      <c r="S92" s="62">
        <v>87.142857142857153</v>
      </c>
      <c r="T92" s="31">
        <v>0.37530155690298683</v>
      </c>
      <c r="U92" s="31">
        <v>1.1308081574298068</v>
      </c>
      <c r="V92" s="31"/>
      <c r="W92" s="31"/>
      <c r="X92" s="31"/>
      <c r="Y92" s="31"/>
      <c r="Z92" s="31">
        <v>2.3839384798364325</v>
      </c>
      <c r="AA92" s="32">
        <v>4.125678645104415</v>
      </c>
      <c r="AC92" s="62">
        <v>87.142857142857153</v>
      </c>
      <c r="AD92" s="31">
        <v>9.7097052069824608E-2</v>
      </c>
      <c r="AE92" s="31">
        <v>9.6922154995444737E-2</v>
      </c>
      <c r="AF92" s="31">
        <v>9.663135966937178E-2</v>
      </c>
      <c r="AG92" s="32">
        <v>9.6225711380163448E-2</v>
      </c>
      <c r="AI92" s="62">
        <v>87.142857142857153</v>
      </c>
      <c r="AJ92" s="31">
        <v>-9.7097052069824608E-2</v>
      </c>
      <c r="AK92" s="31">
        <v>-9.6922154995444737E-2</v>
      </c>
      <c r="AL92" s="31">
        <v>-9.663135966937178E-2</v>
      </c>
      <c r="AM92" s="32">
        <v>-9.6225711380163448E-2</v>
      </c>
    </row>
    <row r="93" spans="1:39">
      <c r="A93" s="62">
        <v>100</v>
      </c>
      <c r="B93" s="31">
        <v>-0.65718905050423415</v>
      </c>
      <c r="C93" s="31">
        <v>-0.65773626411290664</v>
      </c>
      <c r="D93" s="31">
        <v>-0.6586460972838144</v>
      </c>
      <c r="E93" s="32">
        <v>-0.65991527954416174</v>
      </c>
      <c r="G93" s="62">
        <v>100</v>
      </c>
      <c r="H93" s="31">
        <v>-0.30749092917114379</v>
      </c>
      <c r="I93" s="31">
        <v>-0.30694371556247119</v>
      </c>
      <c r="J93" s="31">
        <v>-0.30603388239156343</v>
      </c>
      <c r="K93" s="32">
        <v>-0.30476470013121615</v>
      </c>
      <c r="M93" s="62">
        <v>100</v>
      </c>
      <c r="N93" s="31">
        <v>1.0378547281610398E-2</v>
      </c>
      <c r="O93" s="31">
        <v>-0.79894535230302188</v>
      </c>
      <c r="P93" s="31">
        <v>-2.1413404002227585</v>
      </c>
      <c r="Q93" s="32">
        <v>4.4194522086213954</v>
      </c>
      <c r="S93" s="62">
        <v>100</v>
      </c>
      <c r="T93" s="31">
        <v>0.40192303307279759</v>
      </c>
      <c r="U93" s="31">
        <v>1.21124693265743</v>
      </c>
      <c r="V93" s="31"/>
      <c r="W93" s="31"/>
      <c r="X93" s="31"/>
      <c r="Y93" s="31"/>
      <c r="Z93" s="31">
        <v>2.5536419805771668</v>
      </c>
      <c r="AA93" s="32">
        <v>4.4194522086213954</v>
      </c>
      <c r="AC93" s="62">
        <v>100</v>
      </c>
      <c r="AD93" s="31">
        <v>7.8986657696698104E-2</v>
      </c>
      <c r="AE93" s="31">
        <v>7.8844382158443221E-2</v>
      </c>
      <c r="AF93" s="31">
        <v>7.860782553400722E-2</v>
      </c>
      <c r="AG93" s="32">
        <v>7.8277838146316919E-2</v>
      </c>
      <c r="AI93" s="62">
        <v>100</v>
      </c>
      <c r="AJ93" s="31">
        <v>-7.8986657696698104E-2</v>
      </c>
      <c r="AK93" s="31">
        <v>-7.8844382158443221E-2</v>
      </c>
      <c r="AL93" s="31">
        <v>-7.860782553400722E-2</v>
      </c>
      <c r="AM93" s="32">
        <v>-7.8277838146316919E-2</v>
      </c>
    </row>
    <row r="94" spans="1:39">
      <c r="A94" s="62">
        <v>212.5</v>
      </c>
      <c r="B94" s="31">
        <v>-0.51813061725686227</v>
      </c>
      <c r="C94" s="31">
        <v>-0.518928311313956</v>
      </c>
      <c r="D94" s="31">
        <v>-0.52025460967693038</v>
      </c>
      <c r="E94" s="32">
        <v>-0.52210474485339942</v>
      </c>
      <c r="G94" s="62">
        <v>212.5</v>
      </c>
      <c r="H94" s="31">
        <v>-0.44654936241851556</v>
      </c>
      <c r="I94" s="31">
        <v>-0.44575166836142188</v>
      </c>
      <c r="J94" s="31">
        <v>-0.44442536999844756</v>
      </c>
      <c r="K94" s="32">
        <v>-0.44257523482197852</v>
      </c>
      <c r="M94" s="62">
        <v>212.5</v>
      </c>
      <c r="N94" s="31">
        <v>-0.17287379899780272</v>
      </c>
      <c r="O94" s="31">
        <v>-1.3526559804544527</v>
      </c>
      <c r="P94" s="31">
        <v>-3.3095162175290862</v>
      </c>
      <c r="Q94" s="32">
        <v>6.4416802190425537</v>
      </c>
      <c r="S94" s="62">
        <v>212.5</v>
      </c>
      <c r="T94" s="31">
        <v>0.58517537935221076</v>
      </c>
      <c r="U94" s="31">
        <v>1.764957560808861</v>
      </c>
      <c r="V94" s="31"/>
      <c r="W94" s="31"/>
      <c r="X94" s="31"/>
      <c r="Y94" s="31"/>
      <c r="Z94" s="31">
        <v>3.721817797883495</v>
      </c>
      <c r="AA94" s="32">
        <v>6.4416802190425537</v>
      </c>
      <c r="AC94" s="62">
        <v>212.5</v>
      </c>
      <c r="AD94" s="31">
        <v>2.5498541251989422E-2</v>
      </c>
      <c r="AE94" s="31">
        <v>2.5452611739497939E-2</v>
      </c>
      <c r="AF94" s="31">
        <v>2.5376246325103845E-2</v>
      </c>
      <c r="AG94" s="32">
        <v>2.5269719510790888E-2</v>
      </c>
      <c r="AI94" s="62">
        <v>212.5</v>
      </c>
      <c r="AJ94" s="31">
        <v>-2.5498541251989422E-2</v>
      </c>
      <c r="AK94" s="31">
        <v>-2.5452611739497939E-2</v>
      </c>
      <c r="AL94" s="31">
        <v>-2.5376246325103845E-2</v>
      </c>
      <c r="AM94" s="32">
        <v>-2.5269719510790888E-2</v>
      </c>
    </row>
    <row r="95" spans="1:39">
      <c r="A95" s="62">
        <v>325</v>
      </c>
      <c r="B95" s="31">
        <v>-0.41330995625505856</v>
      </c>
      <c r="C95" s="31">
        <v>-0.41429645961740896</v>
      </c>
      <c r="D95" s="31">
        <v>-0.41593668469232187</v>
      </c>
      <c r="E95" s="32">
        <v>-0.41822473555111755</v>
      </c>
      <c r="G95" s="62">
        <v>325</v>
      </c>
      <c r="H95" s="31">
        <v>-0.55137002342031938</v>
      </c>
      <c r="I95" s="31">
        <v>-0.55038352005796898</v>
      </c>
      <c r="J95" s="31">
        <v>-0.54874329498305596</v>
      </c>
      <c r="K95" s="32">
        <v>-0.54645524412426039</v>
      </c>
      <c r="M95" s="62">
        <v>325</v>
      </c>
      <c r="N95" s="31">
        <v>-0.31100732760565925</v>
      </c>
      <c r="O95" s="31">
        <v>-1.7700367368110899</v>
      </c>
      <c r="P95" s="31">
        <v>-4.1900738254128642</v>
      </c>
      <c r="Q95" s="32">
        <v>7.9660126295165838</v>
      </c>
      <c r="S95" s="62">
        <v>325</v>
      </c>
      <c r="T95" s="31">
        <v>0.72330890796006719</v>
      </c>
      <c r="U95" s="31">
        <v>2.182338317165498</v>
      </c>
      <c r="V95" s="31"/>
      <c r="W95" s="31"/>
      <c r="X95" s="31"/>
      <c r="Y95" s="31"/>
      <c r="Z95" s="31">
        <v>4.6023754057672726</v>
      </c>
      <c r="AA95" s="32">
        <v>7.9660126295165838</v>
      </c>
      <c r="AC95" s="62">
        <v>325</v>
      </c>
      <c r="AD95" s="31">
        <v>1.3481204468779524E-2</v>
      </c>
      <c r="AE95" s="31">
        <v>1.3456921309090899E-2</v>
      </c>
      <c r="AF95" s="31">
        <v>1.3416546538016119E-2</v>
      </c>
      <c r="AG95" s="32">
        <v>1.3360225286107301E-2</v>
      </c>
      <c r="AI95" s="62">
        <v>325</v>
      </c>
      <c r="AJ95" s="31">
        <v>-1.3481204468779524E-2</v>
      </c>
      <c r="AK95" s="31">
        <v>-1.3456921309090899E-2</v>
      </c>
      <c r="AL95" s="31">
        <v>-1.3416546538016119E-2</v>
      </c>
      <c r="AM95" s="32">
        <v>-1.3360225286107301E-2</v>
      </c>
    </row>
    <row r="96" spans="1:39">
      <c r="A96" s="62">
        <v>437.5</v>
      </c>
      <c r="B96" s="31">
        <v>-0.32555139621886708</v>
      </c>
      <c r="C96" s="31">
        <v>-0.32669597559974678</v>
      </c>
      <c r="D96" s="31">
        <v>-0.32859902821202985</v>
      </c>
      <c r="E96" s="32">
        <v>-0.33125371337107667</v>
      </c>
      <c r="G96" s="62">
        <v>437.5</v>
      </c>
      <c r="H96" s="31">
        <v>-0.6391285834565108</v>
      </c>
      <c r="I96" s="31">
        <v>-0.63798400407563127</v>
      </c>
      <c r="J96" s="31">
        <v>-0.63608095146334809</v>
      </c>
      <c r="K96" s="32">
        <v>-0.63342626630430121</v>
      </c>
      <c r="M96" s="62">
        <v>437.5</v>
      </c>
      <c r="N96" s="31">
        <v>-0.4266562793245855</v>
      </c>
      <c r="O96" s="31">
        <v>-2.1194786675774351</v>
      </c>
      <c r="P96" s="31">
        <v>-4.9272993586067804</v>
      </c>
      <c r="Q96" s="32">
        <v>9.2422230262187739</v>
      </c>
      <c r="S96" s="62">
        <v>437.5</v>
      </c>
      <c r="T96" s="31">
        <v>0.8389578596789935</v>
      </c>
      <c r="U96" s="31">
        <v>2.5317802479318434</v>
      </c>
      <c r="V96" s="31"/>
      <c r="W96" s="31"/>
      <c r="X96" s="31"/>
      <c r="Y96" s="31"/>
      <c r="Z96" s="31">
        <v>5.3396009389611887</v>
      </c>
      <c r="AA96" s="32">
        <v>9.2422230262187739</v>
      </c>
      <c r="AC96" s="62">
        <v>437.5</v>
      </c>
      <c r="AD96" s="31">
        <v>8.6315074774671059E-3</v>
      </c>
      <c r="AE96" s="31">
        <v>8.6159598848974429E-3</v>
      </c>
      <c r="AF96" s="31">
        <v>8.5901094396171242E-3</v>
      </c>
      <c r="AG96" s="32">
        <v>8.5540490632526021E-3</v>
      </c>
      <c r="AI96" s="62">
        <v>437.5</v>
      </c>
      <c r="AJ96" s="31">
        <v>-8.6315074774671059E-3</v>
      </c>
      <c r="AK96" s="31">
        <v>-8.6159598848974429E-3</v>
      </c>
      <c r="AL96" s="31">
        <v>-8.5901094396171242E-3</v>
      </c>
      <c r="AM96" s="32">
        <v>-8.5540490632526021E-3</v>
      </c>
    </row>
    <row r="97" spans="1:39">
      <c r="A97" s="62">
        <v>550</v>
      </c>
      <c r="B97" s="31">
        <v>-0.24852184149851225</v>
      </c>
      <c r="C97" s="31">
        <v>-0.24980517116556628</v>
      </c>
      <c r="D97" s="31">
        <v>-0.25193891908738408</v>
      </c>
      <c r="E97" s="32">
        <v>-0.25491541532539475</v>
      </c>
      <c r="G97" s="62">
        <v>550</v>
      </c>
      <c r="H97" s="31">
        <v>-0.71615813817686558</v>
      </c>
      <c r="I97" s="31">
        <v>-0.71487480850981155</v>
      </c>
      <c r="J97" s="31">
        <v>-0.7127410605879938</v>
      </c>
      <c r="K97" s="32">
        <v>-0.70976456434998314</v>
      </c>
      <c r="M97" s="62">
        <v>550</v>
      </c>
      <c r="N97" s="31">
        <v>-0.52816645965469688</v>
      </c>
      <c r="O97" s="31">
        <v>-2.4261992463614543</v>
      </c>
      <c r="P97" s="31">
        <v>-5.5743946906972841</v>
      </c>
      <c r="Q97" s="32">
        <v>10.362409120280891</v>
      </c>
      <c r="S97" s="62">
        <v>550</v>
      </c>
      <c r="T97" s="31">
        <v>0.94046804000910489</v>
      </c>
      <c r="U97" s="31">
        <v>2.8385008267158622</v>
      </c>
      <c r="V97" s="31"/>
      <c r="W97" s="31"/>
      <c r="X97" s="31"/>
      <c r="Y97" s="31"/>
      <c r="Z97" s="31">
        <v>5.9866962710516933</v>
      </c>
      <c r="AA97" s="32">
        <v>10.362409120280891</v>
      </c>
      <c r="AC97" s="62">
        <v>550</v>
      </c>
      <c r="AD97" s="31">
        <v>6.1236407285350696E-3</v>
      </c>
      <c r="AE97" s="31">
        <v>6.1126104570165896E-3</v>
      </c>
      <c r="AF97" s="31">
        <v>6.0942708054571634E-3</v>
      </c>
      <c r="AG97" s="32">
        <v>6.0686876972957495E-3</v>
      </c>
      <c r="AI97" s="62">
        <v>550</v>
      </c>
      <c r="AJ97" s="31">
        <v>-6.1236407285350696E-3</v>
      </c>
      <c r="AK97" s="31">
        <v>-6.1126104570165896E-3</v>
      </c>
      <c r="AL97" s="31">
        <v>-6.0942708054571634E-3</v>
      </c>
      <c r="AM97" s="32">
        <v>-6.0686876972957495E-3</v>
      </c>
    </row>
    <row r="98" spans="1:39">
      <c r="A98" s="62">
        <v>662.5</v>
      </c>
      <c r="B98" s="31">
        <v>-0.17904406691658437</v>
      </c>
      <c r="C98" s="31">
        <v>-0.18045254414733633</v>
      </c>
      <c r="D98" s="31">
        <v>-0.18279437060175327</v>
      </c>
      <c r="E98" s="32">
        <v>-0.18606112838526256</v>
      </c>
      <c r="G98" s="62">
        <v>662.5</v>
      </c>
      <c r="H98" s="31">
        <v>-0.78563591275879352</v>
      </c>
      <c r="I98" s="31">
        <v>-0.78422743552804164</v>
      </c>
      <c r="J98" s="31">
        <v>-0.7818856090736247</v>
      </c>
      <c r="K98" s="32">
        <v>-0.77861885129011521</v>
      </c>
      <c r="M98" s="62">
        <v>662.5</v>
      </c>
      <c r="N98" s="31">
        <v>-0.6197248420489635</v>
      </c>
      <c r="O98" s="31">
        <v>-2.7028497256451325</v>
      </c>
      <c r="P98" s="31">
        <v>-6.1580504547636652</v>
      </c>
      <c r="Q98" s="32">
        <v>11.372775040421571</v>
      </c>
      <c r="S98" s="62">
        <v>662.5</v>
      </c>
      <c r="T98" s="31">
        <v>1.0320264224033713</v>
      </c>
      <c r="U98" s="31">
        <v>3.1151513059995413</v>
      </c>
      <c r="V98" s="31"/>
      <c r="W98" s="31"/>
      <c r="X98" s="31"/>
      <c r="Y98" s="31"/>
      <c r="Z98" s="31">
        <v>6.5703520351180726</v>
      </c>
      <c r="AA98" s="32">
        <v>11.372775040421571</v>
      </c>
      <c r="AC98" s="62">
        <v>662.5</v>
      </c>
      <c r="AD98" s="31">
        <v>4.6320678602659914E-3</v>
      </c>
      <c r="AE98" s="31">
        <v>4.6237242998816153E-3</v>
      </c>
      <c r="AF98" s="31">
        <v>4.6098517501480816E-3</v>
      </c>
      <c r="AG98" s="32">
        <v>4.5905000771265091E-3</v>
      </c>
      <c r="AI98" s="62">
        <v>662.5</v>
      </c>
      <c r="AJ98" s="31">
        <v>-4.6320678602659914E-3</v>
      </c>
      <c r="AK98" s="31">
        <v>-4.6237242998816153E-3</v>
      </c>
      <c r="AL98" s="31">
        <v>-4.6098517501480816E-3</v>
      </c>
      <c r="AM98" s="32">
        <v>-4.5905000771265091E-3</v>
      </c>
    </row>
    <row r="99" spans="1:39">
      <c r="A99" s="62">
        <v>775</v>
      </c>
      <c r="B99" s="31">
        <v>-0.11525485344782382</v>
      </c>
      <c r="C99" s="31">
        <v>-0.11677823166243527</v>
      </c>
      <c r="D99" s="31">
        <v>-0.11931110001498567</v>
      </c>
      <c r="E99" s="32">
        <v>-0.12284435389453449</v>
      </c>
      <c r="G99" s="62">
        <v>775</v>
      </c>
      <c r="H99" s="31">
        <v>-0.84942512622755417</v>
      </c>
      <c r="I99" s="31">
        <v>-0.8479017480129426</v>
      </c>
      <c r="J99" s="31">
        <v>-0.84536887966039231</v>
      </c>
      <c r="K99" s="32">
        <v>-0.84183562578084348</v>
      </c>
      <c r="M99" s="62">
        <v>775</v>
      </c>
      <c r="N99" s="31">
        <v>-0.70378679185300153</v>
      </c>
      <c r="O99" s="31">
        <v>-2.956849174899971</v>
      </c>
      <c r="P99" s="31">
        <v>-6.6939188292234739</v>
      </c>
      <c r="Q99" s="32">
        <v>12.300416257332088</v>
      </c>
      <c r="S99" s="62">
        <v>775</v>
      </c>
      <c r="T99" s="31">
        <v>1.1160883722074095</v>
      </c>
      <c r="U99" s="31">
        <v>3.3691507552543793</v>
      </c>
      <c r="V99" s="31"/>
      <c r="W99" s="31"/>
      <c r="X99" s="31"/>
      <c r="Y99" s="31"/>
      <c r="Z99" s="31">
        <v>7.1062204095778814</v>
      </c>
      <c r="AA99" s="32">
        <v>12.300416257332088</v>
      </c>
      <c r="AC99" s="62">
        <v>775</v>
      </c>
      <c r="AD99" s="31">
        <v>3.6610122610841178E-3</v>
      </c>
      <c r="AE99" s="31">
        <v>3.654417824692043E-3</v>
      </c>
      <c r="AF99" s="31">
        <v>3.6434534830202332E-3</v>
      </c>
      <c r="AG99" s="32">
        <v>3.6281586483283257E-3</v>
      </c>
      <c r="AI99" s="62">
        <v>775</v>
      </c>
      <c r="AJ99" s="31">
        <v>-3.6610122610841178E-3</v>
      </c>
      <c r="AK99" s="31">
        <v>-3.654417824692043E-3</v>
      </c>
      <c r="AL99" s="31">
        <v>-3.6434534830202332E-3</v>
      </c>
      <c r="AM99" s="32">
        <v>-3.6281586483283257E-3</v>
      </c>
    </row>
    <row r="100" spans="1:39">
      <c r="A100" s="62">
        <v>887.5</v>
      </c>
      <c r="B100" s="31">
        <v>-5.5950564872422032E-2</v>
      </c>
      <c r="C100" s="31">
        <v>-5.7580765553307316E-2</v>
      </c>
      <c r="D100" s="31">
        <v>-6.0291243931766589E-2</v>
      </c>
      <c r="E100" s="32">
        <v>-6.4072256962499949E-2</v>
      </c>
      <c r="G100" s="62">
        <v>887.5</v>
      </c>
      <c r="H100" s="31">
        <v>-0.90872941480295599</v>
      </c>
      <c r="I100" s="31">
        <v>-0.90709921412207051</v>
      </c>
      <c r="J100" s="31">
        <v>-0.90438873574361123</v>
      </c>
      <c r="K100" s="32">
        <v>-0.90060772271287803</v>
      </c>
      <c r="M100" s="62">
        <v>887.5</v>
      </c>
      <c r="N100" s="31">
        <v>-0.78193847077017475</v>
      </c>
      <c r="O100" s="31">
        <v>-3.1929902999818625</v>
      </c>
      <c r="P100" s="31">
        <v>-7.1921110938601807</v>
      </c>
      <c r="Q100" s="32">
        <v>13.16283639751833</v>
      </c>
      <c r="S100" s="62">
        <v>887.5</v>
      </c>
      <c r="T100" s="31">
        <v>1.1942400511245828</v>
      </c>
      <c r="U100" s="31">
        <v>3.6052918803362708</v>
      </c>
      <c r="V100" s="31"/>
      <c r="W100" s="31"/>
      <c r="X100" s="31"/>
      <c r="Y100" s="31"/>
      <c r="Z100" s="31">
        <v>7.6044126742145899</v>
      </c>
      <c r="AA100" s="32">
        <v>13.16283639751833</v>
      </c>
      <c r="AC100" s="62">
        <v>887.5</v>
      </c>
      <c r="AD100" s="31">
        <v>2.9874537777230758E-3</v>
      </c>
      <c r="AE100" s="31">
        <v>2.9820725955509012E-3</v>
      </c>
      <c r="AF100" s="31">
        <v>2.9731254897747529E-3</v>
      </c>
      <c r="AG100" s="32">
        <v>2.9606446215280956E-3</v>
      </c>
      <c r="AI100" s="62">
        <v>887.5</v>
      </c>
      <c r="AJ100" s="31">
        <v>-2.9874537777230758E-3</v>
      </c>
      <c r="AK100" s="31">
        <v>-2.9820725955509012E-3</v>
      </c>
      <c r="AL100" s="31">
        <v>-2.9731254897747529E-3</v>
      </c>
      <c r="AM100" s="32">
        <v>-2.9606446215280956E-3</v>
      </c>
    </row>
    <row r="101" spans="1:39">
      <c r="A101" s="62">
        <v>1000</v>
      </c>
      <c r="B101" s="31">
        <v>-3.0026054678330641E-4</v>
      </c>
      <c r="C101" s="31">
        <v>-2.0307019168288322E-3</v>
      </c>
      <c r="D101" s="31">
        <v>-4.9078470276704422E-3</v>
      </c>
      <c r="E101" s="32">
        <v>-8.9213537362486765E-3</v>
      </c>
      <c r="G101" s="62">
        <v>1000</v>
      </c>
      <c r="H101" s="31">
        <v>-0.96437971912859466</v>
      </c>
      <c r="I101" s="31">
        <v>-0.96264927775854914</v>
      </c>
      <c r="J101" s="31">
        <v>-0.95977213264770744</v>
      </c>
      <c r="K101" s="32">
        <v>-0.95575862593912919</v>
      </c>
      <c r="M101" s="62">
        <v>1000</v>
      </c>
      <c r="N101" s="31">
        <v>-0.85527489921026301</v>
      </c>
      <c r="O101" s="31">
        <v>-3.4145817867071022</v>
      </c>
      <c r="P101" s="31">
        <v>-7.6596076578643455</v>
      </c>
      <c r="Q101" s="32">
        <v>13.972119240476687</v>
      </c>
      <c r="S101" s="62">
        <v>1000</v>
      </c>
      <c r="T101" s="31">
        <v>1.2675764795646709</v>
      </c>
      <c r="U101" s="31">
        <v>3.8268833670615106</v>
      </c>
      <c r="V101" s="31"/>
      <c r="W101" s="31"/>
      <c r="X101" s="31"/>
      <c r="Y101" s="31"/>
      <c r="Z101" s="31">
        <v>8.0719092382187529</v>
      </c>
      <c r="AA101" s="32">
        <v>13.972119240476687</v>
      </c>
      <c r="AC101" s="62">
        <v>1000</v>
      </c>
      <c r="AD101" s="31">
        <v>2.4977774308563546E-3</v>
      </c>
      <c r="AE101" s="31">
        <v>2.493278283294236E-3</v>
      </c>
      <c r="AF101" s="31">
        <v>2.4857977060060476E-3</v>
      </c>
      <c r="AG101" s="32">
        <v>2.4753625885637442E-3</v>
      </c>
      <c r="AI101" s="62">
        <v>1000</v>
      </c>
      <c r="AJ101" s="31">
        <v>-2.4977774308563546E-3</v>
      </c>
      <c r="AK101" s="31">
        <v>-2.493278283294236E-3</v>
      </c>
      <c r="AL101" s="31">
        <v>-2.4857977060060476E-3</v>
      </c>
      <c r="AM101" s="32">
        <v>-2.4753625885637442E-3</v>
      </c>
    </row>
    <row r="102" spans="1:39">
      <c r="A102" s="62">
        <v>1200</v>
      </c>
      <c r="B102" s="31">
        <v>9.1392298744869288E-2</v>
      </c>
      <c r="C102" s="31">
        <v>8.9496695199241139E-2</v>
      </c>
      <c r="D102" s="31">
        <v>8.6344940642393772E-2</v>
      </c>
      <c r="E102" s="32">
        <v>8.1948364324420597E-2</v>
      </c>
      <c r="G102" s="62">
        <v>1200</v>
      </c>
      <c r="H102" s="31">
        <v>-1.056072278420247</v>
      </c>
      <c r="I102" s="31">
        <v>-1.0541766748746191</v>
      </c>
      <c r="J102" s="31">
        <v>-1.0510249203177715</v>
      </c>
      <c r="K102" s="32">
        <v>-1.0466283439997983</v>
      </c>
      <c r="M102" s="62">
        <v>1200</v>
      </c>
      <c r="N102" s="31">
        <v>-0.97610810748227639</v>
      </c>
      <c r="O102" s="31">
        <v>-3.7796883352029864</v>
      </c>
      <c r="P102" s="31">
        <v>-8.4298811888546687</v>
      </c>
      <c r="Q102" s="32">
        <v>15.305538993717629</v>
      </c>
      <c r="S102" s="62">
        <v>1200</v>
      </c>
      <c r="T102" s="31">
        <v>1.3884096878366843</v>
      </c>
      <c r="U102" s="31">
        <v>4.1919899155573948</v>
      </c>
      <c r="V102" s="31"/>
      <c r="W102" s="31"/>
      <c r="X102" s="31"/>
      <c r="Y102" s="31"/>
      <c r="Z102" s="31">
        <v>8.8421827692090762</v>
      </c>
      <c r="AA102" s="32">
        <v>15.305538993717629</v>
      </c>
      <c r="AC102" s="62">
        <v>1200</v>
      </c>
      <c r="AD102" s="31">
        <v>1.9001236701490629E-3</v>
      </c>
      <c r="AE102" s="31">
        <v>1.8967010526361231E-3</v>
      </c>
      <c r="AF102" s="31">
        <v>1.8910103846862597E-3</v>
      </c>
      <c r="AG102" s="32">
        <v>1.8830721218899191E-3</v>
      </c>
      <c r="AI102" s="62">
        <v>1200</v>
      </c>
      <c r="AJ102" s="31">
        <v>-1.9001236701490629E-3</v>
      </c>
      <c r="AK102" s="31">
        <v>-1.8967010526361231E-3</v>
      </c>
      <c r="AL102" s="31">
        <v>-1.8910103846862597E-3</v>
      </c>
      <c r="AM102" s="32">
        <v>-1.8830721218899191E-3</v>
      </c>
    </row>
    <row r="103" spans="1:39">
      <c r="A103" s="62">
        <v>1400</v>
      </c>
      <c r="B103" s="31">
        <v>0.17571230922937089</v>
      </c>
      <c r="C103" s="31">
        <v>0.17366482338833791</v>
      </c>
      <c r="D103" s="31">
        <v>0.17026053938367894</v>
      </c>
      <c r="E103" s="32">
        <v>0.16551169420408812</v>
      </c>
      <c r="G103" s="62">
        <v>1400</v>
      </c>
      <c r="H103" s="31">
        <v>-1.1403922889047489</v>
      </c>
      <c r="I103" s="31">
        <v>-1.1383448030637158</v>
      </c>
      <c r="J103" s="31">
        <v>-1.1349405190590567</v>
      </c>
      <c r="K103" s="32">
        <v>-1.130191673879466</v>
      </c>
      <c r="M103" s="62">
        <v>1400</v>
      </c>
      <c r="N103" s="31">
        <v>-1.0872257103399345</v>
      </c>
      <c r="O103" s="31">
        <v>-4.1154384575134655</v>
      </c>
      <c r="P103" s="31">
        <v>-9.1382208045311053</v>
      </c>
      <c r="Q103" s="32">
        <v>16.531745006965572</v>
      </c>
      <c r="S103" s="62">
        <v>1400</v>
      </c>
      <c r="T103" s="31">
        <v>1.4995272906943424</v>
      </c>
      <c r="U103" s="31">
        <v>4.5277400378678738</v>
      </c>
      <c r="V103" s="31"/>
      <c r="W103" s="31"/>
      <c r="X103" s="31"/>
      <c r="Y103" s="31"/>
      <c r="Z103" s="31">
        <v>9.5505223848855127</v>
      </c>
      <c r="AA103" s="32">
        <v>16.531745006965572</v>
      </c>
      <c r="AC103" s="62">
        <v>1400</v>
      </c>
      <c r="AD103" s="31">
        <v>1.507862302180793E-3</v>
      </c>
      <c r="AE103" s="31">
        <v>1.5051462495345245E-3</v>
      </c>
      <c r="AF103" s="31">
        <v>1.5006303625895688E-3</v>
      </c>
      <c r="AG103" s="32">
        <v>1.49433087408603E-3</v>
      </c>
      <c r="AI103" s="62">
        <v>1400</v>
      </c>
      <c r="AJ103" s="31">
        <v>-1.507862302180793E-3</v>
      </c>
      <c r="AK103" s="31">
        <v>-1.5051462495345245E-3</v>
      </c>
      <c r="AL103" s="31">
        <v>-1.5006303625895688E-3</v>
      </c>
      <c r="AM103" s="32">
        <v>-1.49433087408603E-3</v>
      </c>
    </row>
    <row r="104" spans="1:39">
      <c r="A104" s="62">
        <v>1600</v>
      </c>
      <c r="B104" s="31">
        <v>0.25419546138074467</v>
      </c>
      <c r="C104" s="31">
        <v>0.25200660694605431</v>
      </c>
      <c r="D104" s="31">
        <v>0.24836727426242333</v>
      </c>
      <c r="E104" s="32">
        <v>0.24329054522103419</v>
      </c>
      <c r="G104" s="62">
        <v>1600</v>
      </c>
      <c r="H104" s="31">
        <v>-1.2188754410561224</v>
      </c>
      <c r="I104" s="31">
        <v>-1.2166865866214323</v>
      </c>
      <c r="J104" s="31">
        <v>-1.2130472539378012</v>
      </c>
      <c r="K104" s="32">
        <v>-1.2079705248964121</v>
      </c>
      <c r="M104" s="62">
        <v>1600</v>
      </c>
      <c r="N104" s="31">
        <v>-1.1906514533120192</v>
      </c>
      <c r="O104" s="31">
        <v>-4.4279470516505484</v>
      </c>
      <c r="P104" s="31">
        <v>-9.797527243329494</v>
      </c>
      <c r="Q104" s="32">
        <v>17.673069735860814</v>
      </c>
      <c r="S104" s="62">
        <v>1600</v>
      </c>
      <c r="T104" s="31">
        <v>1.6029530336664273</v>
      </c>
      <c r="U104" s="31">
        <v>4.8402486320049567</v>
      </c>
      <c r="V104" s="31"/>
      <c r="W104" s="31"/>
      <c r="X104" s="31"/>
      <c r="Y104" s="31"/>
      <c r="Z104" s="31">
        <v>10.209828823683901</v>
      </c>
      <c r="AA104" s="32">
        <v>17.673069735860814</v>
      </c>
      <c r="AC104" s="62">
        <v>1600</v>
      </c>
      <c r="AD104" s="31">
        <v>1.2341665265109083E-3</v>
      </c>
      <c r="AE104" s="31">
        <v>1.2319434712256758E-3</v>
      </c>
      <c r="AF104" s="31">
        <v>1.2282472739688632E-3</v>
      </c>
      <c r="AG104" s="32">
        <v>1.2230912210362023E-3</v>
      </c>
      <c r="AI104" s="62">
        <v>1600</v>
      </c>
      <c r="AJ104" s="31">
        <v>-1.2341665265109083E-3</v>
      </c>
      <c r="AK104" s="31">
        <v>-1.2319434712256758E-3</v>
      </c>
      <c r="AL104" s="31">
        <v>-1.2282472739688632E-3</v>
      </c>
      <c r="AM104" s="32">
        <v>-1.2230912210362023E-3</v>
      </c>
    </row>
    <row r="105" spans="1:39">
      <c r="A105" s="62">
        <v>1800</v>
      </c>
      <c r="B105" s="31">
        <v>0.32790844944529324</v>
      </c>
      <c r="C105" s="31">
        <v>0.32558681872459361</v>
      </c>
      <c r="D105" s="31">
        <v>0.32172672349520964</v>
      </c>
      <c r="E105" s="32">
        <v>0.31634203919809023</v>
      </c>
      <c r="G105" s="62">
        <v>1800</v>
      </c>
      <c r="H105" s="31">
        <v>-1.2925884291206711</v>
      </c>
      <c r="I105" s="31">
        <v>-1.2902667983999712</v>
      </c>
      <c r="J105" s="31">
        <v>-1.2864067031705875</v>
      </c>
      <c r="K105" s="32">
        <v>-1.281022018873468</v>
      </c>
      <c r="M105" s="62">
        <v>1800</v>
      </c>
      <c r="N105" s="31">
        <v>-1.2877910348436572</v>
      </c>
      <c r="O105" s="31">
        <v>-4.7214615402794617</v>
      </c>
      <c r="P105" s="31">
        <v>-10.416761388771176</v>
      </c>
      <c r="Q105" s="32">
        <v>18.745025357069341</v>
      </c>
      <c r="S105" s="62">
        <v>1800</v>
      </c>
      <c r="T105" s="31">
        <v>1.7000926151980653</v>
      </c>
      <c r="U105" s="31">
        <v>5.1337631206338692</v>
      </c>
      <c r="V105" s="31"/>
      <c r="W105" s="31"/>
      <c r="X105" s="31"/>
      <c r="Y105" s="31"/>
      <c r="Z105" s="31">
        <v>10.829062969125584</v>
      </c>
      <c r="AA105" s="32">
        <v>18.745025357069341</v>
      </c>
      <c r="AC105" s="62">
        <v>1800</v>
      </c>
      <c r="AD105" s="31">
        <v>1.0342963200110338E-3</v>
      </c>
      <c r="AE105" s="31">
        <v>1.0324332830129413E-3</v>
      </c>
      <c r="AF105" s="31">
        <v>1.0293356757301024E-3</v>
      </c>
      <c r="AG105" s="32">
        <v>1.0250146327756239E-3</v>
      </c>
      <c r="AI105" s="62">
        <v>1800</v>
      </c>
      <c r="AJ105" s="31">
        <v>-1.0342963200110338E-3</v>
      </c>
      <c r="AK105" s="31">
        <v>-1.0324332830129413E-3</v>
      </c>
      <c r="AL105" s="31">
        <v>-1.0293356757301024E-3</v>
      </c>
      <c r="AM105" s="32">
        <v>-1.0250146327756239E-3</v>
      </c>
    </row>
    <row r="106" spans="1:39">
      <c r="A106" s="62">
        <v>2000</v>
      </c>
      <c r="B106" s="31">
        <v>0.39762792701095789</v>
      </c>
      <c r="C106" s="31">
        <v>0.39518071335654825</v>
      </c>
      <c r="D106" s="31">
        <v>0.39111181571988041</v>
      </c>
      <c r="E106" s="32">
        <v>0.38543586009993375</v>
      </c>
      <c r="G106" s="62">
        <v>2000</v>
      </c>
      <c r="H106" s="31">
        <v>-1.3623079066863359</v>
      </c>
      <c r="I106" s="31">
        <v>-1.3598606930319261</v>
      </c>
      <c r="J106" s="31">
        <v>-1.3557917953952585</v>
      </c>
      <c r="K106" s="32">
        <v>-1.3501158397753117</v>
      </c>
      <c r="M106" s="62">
        <v>2000</v>
      </c>
      <c r="N106" s="31">
        <v>-1.379667935416492</v>
      </c>
      <c r="O106" s="31">
        <v>-4.999074445989395</v>
      </c>
      <c r="P106" s="31">
        <v>-11.002447605604631</v>
      </c>
      <c r="Q106" s="32">
        <v>19.7589061920016</v>
      </c>
      <c r="S106" s="62">
        <v>2000</v>
      </c>
      <c r="T106" s="31">
        <v>1.7919695157709004</v>
      </c>
      <c r="U106" s="31">
        <v>5.4113760263438033</v>
      </c>
      <c r="V106" s="31"/>
      <c r="W106" s="31"/>
      <c r="X106" s="31"/>
      <c r="Y106" s="31"/>
      <c r="Z106" s="31">
        <v>11.414749185959039</v>
      </c>
      <c r="AA106" s="32">
        <v>19.7589061920016</v>
      </c>
      <c r="AC106" s="62">
        <v>2000</v>
      </c>
      <c r="AD106" s="31">
        <v>8.8309767962662104E-4</v>
      </c>
      <c r="AE106" s="31">
        <v>8.8150699075125469E-4</v>
      </c>
      <c r="AF106" s="31">
        <v>8.7886220728742063E-4</v>
      </c>
      <c r="AG106" s="32">
        <v>8.7517283613445531E-4</v>
      </c>
      <c r="AI106" s="62">
        <v>2000</v>
      </c>
      <c r="AJ106" s="31">
        <v>-8.8309767962662104E-4</v>
      </c>
      <c r="AK106" s="31">
        <v>-8.8150699075125469E-4</v>
      </c>
      <c r="AL106" s="31">
        <v>-8.7886220728742063E-4</v>
      </c>
      <c r="AM106" s="32">
        <v>-8.7517283613445531E-4</v>
      </c>
    </row>
    <row r="107" spans="1:39">
      <c r="A107" s="62">
        <v>2200</v>
      </c>
      <c r="B107" s="31">
        <v>0.46394020480220249</v>
      </c>
      <c r="C107" s="31">
        <v>0.4613735454680945</v>
      </c>
      <c r="D107" s="31">
        <v>0.45710604962445883</v>
      </c>
      <c r="E107" s="32">
        <v>0.45115305714843756</v>
      </c>
      <c r="G107" s="62">
        <v>2200</v>
      </c>
      <c r="H107" s="31">
        <v>-1.4286201844775803</v>
      </c>
      <c r="I107" s="31">
        <v>-1.4260535251434723</v>
      </c>
      <c r="J107" s="31">
        <v>-1.4217860292998368</v>
      </c>
      <c r="K107" s="32">
        <v>-1.4158330368238154</v>
      </c>
      <c r="M107" s="62">
        <v>2200</v>
      </c>
      <c r="N107" s="31">
        <v>-1.4670548001222141</v>
      </c>
      <c r="O107" s="31">
        <v>-5.2631203735357284</v>
      </c>
      <c r="P107" s="31">
        <v>-11.559511262207387</v>
      </c>
      <c r="Q107" s="32">
        <v>20.723238541020194</v>
      </c>
      <c r="S107" s="62">
        <v>2200</v>
      </c>
      <c r="T107" s="31">
        <v>1.8793563804766225</v>
      </c>
      <c r="U107" s="31">
        <v>5.6754219538901367</v>
      </c>
      <c r="V107" s="31"/>
      <c r="W107" s="31"/>
      <c r="X107" s="31"/>
      <c r="Y107" s="31"/>
      <c r="Z107" s="31">
        <v>11.971812842561796</v>
      </c>
      <c r="AA107" s="32">
        <v>20.723238541020194</v>
      </c>
      <c r="AC107" s="62">
        <v>2200</v>
      </c>
      <c r="AD107" s="31">
        <v>7.6545509106688348E-4</v>
      </c>
      <c r="AE107" s="31">
        <v>7.6407630712707348E-4</v>
      </c>
      <c r="AF107" s="31">
        <v>7.617838506821452E-4</v>
      </c>
      <c r="AG107" s="32">
        <v>7.5858596216196847E-4</v>
      </c>
      <c r="AI107" s="62">
        <v>2200</v>
      </c>
      <c r="AJ107" s="31">
        <v>-7.6545509106688348E-4</v>
      </c>
      <c r="AK107" s="31">
        <v>-7.6407630712707348E-4</v>
      </c>
      <c r="AL107" s="31">
        <v>-7.617838506821452E-4</v>
      </c>
      <c r="AM107" s="32">
        <v>-7.5858596216196847E-4</v>
      </c>
    </row>
    <row r="108" spans="1:39">
      <c r="A108" s="62">
        <v>2400</v>
      </c>
      <c r="B108" s="31">
        <v>0.52730078792991253</v>
      </c>
      <c r="C108" s="31">
        <v>0.52461999968680251</v>
      </c>
      <c r="D108" s="31">
        <v>0.52016274564723786</v>
      </c>
      <c r="E108" s="32">
        <v>0.51394504779035155</v>
      </c>
      <c r="G108" s="62">
        <v>2400</v>
      </c>
      <c r="H108" s="31">
        <v>-1.4919807676052901</v>
      </c>
      <c r="I108" s="31">
        <v>-1.4892999793621804</v>
      </c>
      <c r="J108" s="31">
        <v>-1.4848427253226157</v>
      </c>
      <c r="K108" s="32">
        <v>-1.4786250274657293</v>
      </c>
      <c r="M108" s="62">
        <v>2400</v>
      </c>
      <c r="N108" s="31">
        <v>-1.550551897339826</v>
      </c>
      <c r="O108" s="31">
        <v>-5.5154130785835056</v>
      </c>
      <c r="P108" s="31">
        <v>-12.09177887986816</v>
      </c>
      <c r="Q108" s="32">
        <v>21.64464649137113</v>
      </c>
      <c r="S108" s="62">
        <v>2400</v>
      </c>
      <c r="T108" s="31">
        <v>1.9628534776942341</v>
      </c>
      <c r="U108" s="31">
        <v>5.9277146589379139</v>
      </c>
      <c r="V108" s="31"/>
      <c r="W108" s="31"/>
      <c r="X108" s="31"/>
      <c r="Y108" s="31"/>
      <c r="Z108" s="31">
        <v>12.504080460222566</v>
      </c>
      <c r="AA108" s="32">
        <v>21.64464649137113</v>
      </c>
      <c r="AC108" s="62">
        <v>2400</v>
      </c>
      <c r="AD108" s="31">
        <v>6.7179516612773569E-4</v>
      </c>
      <c r="AE108" s="31">
        <v>6.7058508810133191E-4</v>
      </c>
      <c r="AF108" s="31">
        <v>6.6857313315291729E-4</v>
      </c>
      <c r="AG108" s="32">
        <v>6.6576653342585062E-4</v>
      </c>
      <c r="AI108" s="62">
        <v>2400</v>
      </c>
      <c r="AJ108" s="31">
        <v>-6.7179516612773569E-4</v>
      </c>
      <c r="AK108" s="31">
        <v>-6.7058508810133191E-4</v>
      </c>
      <c r="AL108" s="31">
        <v>-6.6857313315291729E-4</v>
      </c>
      <c r="AM108" s="32">
        <v>-6.6576653342585062E-4</v>
      </c>
    </row>
    <row r="109" spans="1:39">
      <c r="A109" s="62">
        <v>2600</v>
      </c>
      <c r="B109" s="31">
        <v>0.58807191569668715</v>
      </c>
      <c r="C109" s="31">
        <v>0.58528166282796223</v>
      </c>
      <c r="D109" s="31">
        <v>0.5806424057353895</v>
      </c>
      <c r="E109" s="32">
        <v>0.57417082062357294</v>
      </c>
      <c r="G109" s="62">
        <v>2600</v>
      </c>
      <c r="H109" s="31">
        <v>-1.5527518953720649</v>
      </c>
      <c r="I109" s="31">
        <v>-1.5499616425033398</v>
      </c>
      <c r="J109" s="31">
        <v>-1.5453223854107672</v>
      </c>
      <c r="K109" s="32">
        <v>-1.5388508002989507</v>
      </c>
      <c r="M109" s="62">
        <v>2600</v>
      </c>
      <c r="N109" s="31">
        <v>-1.6306365889996033</v>
      </c>
      <c r="O109" s="31">
        <v>-5.7573949457986515</v>
      </c>
      <c r="P109" s="31">
        <v>-12.602293490091707</v>
      </c>
      <c r="Q109" s="32">
        <v>22.528397831904645</v>
      </c>
      <c r="S109" s="62">
        <v>2600</v>
      </c>
      <c r="T109" s="31">
        <v>2.0429381693540116</v>
      </c>
      <c r="U109" s="31">
        <v>6.1696965261530599</v>
      </c>
      <c r="V109" s="31"/>
      <c r="W109" s="31"/>
      <c r="X109" s="31"/>
      <c r="Y109" s="31"/>
      <c r="Z109" s="31">
        <v>13.014595070446116</v>
      </c>
      <c r="AA109" s="32">
        <v>22.528397831904645</v>
      </c>
      <c r="AC109" s="62">
        <v>2600</v>
      </c>
      <c r="AD109" s="31">
        <v>5.9579069365227452E-4</v>
      </c>
      <c r="AE109" s="31">
        <v>5.9471751947199562E-4</v>
      </c>
      <c r="AF109" s="31">
        <v>5.9293318982100616E-4</v>
      </c>
      <c r="AG109" s="32">
        <v>5.9044411862415366E-4</v>
      </c>
      <c r="AI109" s="62">
        <v>2600</v>
      </c>
      <c r="AJ109" s="31">
        <v>-5.9579069365227452E-4</v>
      </c>
      <c r="AK109" s="31">
        <v>-5.9471751947199562E-4</v>
      </c>
      <c r="AL109" s="31">
        <v>-5.9293318982100616E-4</v>
      </c>
      <c r="AM109" s="32">
        <v>-5.9044411862415366E-4</v>
      </c>
    </row>
    <row r="110" spans="1:39">
      <c r="A110" s="62">
        <v>2800</v>
      </c>
      <c r="B110" s="31">
        <v>0.64654729033653591</v>
      </c>
      <c r="C110" s="31">
        <v>0.64365170809138006</v>
      </c>
      <c r="D110" s="31">
        <v>0.63883732348182165</v>
      </c>
      <c r="E110" s="32">
        <v>0.6321214422232343</v>
      </c>
      <c r="G110" s="62">
        <v>2800</v>
      </c>
      <c r="H110" s="31">
        <v>-1.6112272700119141</v>
      </c>
      <c r="I110" s="31">
        <v>-1.6083316877667582</v>
      </c>
      <c r="J110" s="31">
        <v>-1.6035173031571999</v>
      </c>
      <c r="K110" s="32">
        <v>-1.5968014218986124</v>
      </c>
      <c r="M110" s="62">
        <v>2800</v>
      </c>
      <c r="N110" s="31">
        <v>-1.7076959183195142</v>
      </c>
      <c r="O110" s="31">
        <v>-5.9902354551234094</v>
      </c>
      <c r="P110" s="31">
        <v>-13.093522371123921</v>
      </c>
      <c r="Q110" s="32">
        <v>23.378763665569814</v>
      </c>
      <c r="S110" s="62">
        <v>2800</v>
      </c>
      <c r="T110" s="31">
        <v>2.1199974986739223</v>
      </c>
      <c r="U110" s="31">
        <v>6.4025370354778177</v>
      </c>
      <c r="V110" s="31"/>
      <c r="W110" s="31"/>
      <c r="X110" s="31"/>
      <c r="Y110" s="31"/>
      <c r="Z110" s="31">
        <v>13.50582395147833</v>
      </c>
      <c r="AA110" s="32">
        <v>23.378763665569814</v>
      </c>
      <c r="AC110" s="62">
        <v>2800</v>
      </c>
      <c r="AD110" s="31">
        <v>5.3310982948379928E-4</v>
      </c>
      <c r="AE110" s="31">
        <v>5.3214955986168131E-4</v>
      </c>
      <c r="AF110" s="31">
        <v>5.3055295272075634E-4</v>
      </c>
      <c r="AG110" s="32">
        <v>5.2832574720132681E-4</v>
      </c>
      <c r="AI110" s="62">
        <v>2800</v>
      </c>
      <c r="AJ110" s="31">
        <v>-5.3310982948379928E-4</v>
      </c>
      <c r="AK110" s="31">
        <v>-5.3214955986168131E-4</v>
      </c>
      <c r="AL110" s="31">
        <v>-5.3055295272075634E-4</v>
      </c>
      <c r="AM110" s="32">
        <v>-5.2832574720132681E-4</v>
      </c>
    </row>
    <row r="111" spans="1:39">
      <c r="A111" s="62">
        <v>3000</v>
      </c>
      <c r="B111" s="31">
        <v>0.70296896460156644</v>
      </c>
      <c r="C111" s="31">
        <v>0.69997175222912844</v>
      </c>
      <c r="D111" s="31">
        <v>0.69498839071640228</v>
      </c>
      <c r="E111" s="32">
        <v>0.68803679318062638</v>
      </c>
      <c r="G111" s="62">
        <v>3000</v>
      </c>
      <c r="H111" s="31">
        <v>-1.6676489442769442</v>
      </c>
      <c r="I111" s="31">
        <v>-1.6646517319045067</v>
      </c>
      <c r="J111" s="31">
        <v>-1.6596683703917798</v>
      </c>
      <c r="K111" s="32">
        <v>-1.6527167728560042</v>
      </c>
      <c r="M111" s="62">
        <v>3000</v>
      </c>
      <c r="N111" s="31">
        <v>-1.7820488644057595</v>
      </c>
      <c r="O111" s="31">
        <v>-6.2148984257112492</v>
      </c>
      <c r="P111" s="31">
        <v>-13.56749891399993</v>
      </c>
      <c r="Q111" s="32">
        <v>24.199263993591156</v>
      </c>
      <c r="S111" s="62">
        <v>3000</v>
      </c>
      <c r="T111" s="31">
        <v>2.1943504447601674</v>
      </c>
      <c r="U111" s="31">
        <v>6.6272000060656575</v>
      </c>
      <c r="V111" s="31"/>
      <c r="W111" s="31"/>
      <c r="X111" s="31"/>
      <c r="Y111" s="31"/>
      <c r="Z111" s="31">
        <v>13.979800494354336</v>
      </c>
      <c r="AA111" s="32">
        <v>24.199263993591156</v>
      </c>
      <c r="AC111" s="62">
        <v>3000</v>
      </c>
      <c r="AD111" s="31">
        <v>4.806974906935627E-4</v>
      </c>
      <c r="AE111" s="31">
        <v>4.7983162934152508E-4</v>
      </c>
      <c r="AF111" s="31">
        <v>4.7839199157118198E-4</v>
      </c>
      <c r="AG111" s="32">
        <v>4.7638375228306888E-4</v>
      </c>
      <c r="AI111" s="62">
        <v>3000</v>
      </c>
      <c r="AJ111" s="31">
        <v>-4.806974906935627E-4</v>
      </c>
      <c r="AK111" s="31">
        <v>-4.7983162934152508E-4</v>
      </c>
      <c r="AL111" s="31">
        <v>-4.7839199157118198E-4</v>
      </c>
      <c r="AM111" s="32">
        <v>-4.7638375228306888E-4</v>
      </c>
    </row>
    <row r="112" spans="1:39">
      <c r="A112" s="62">
        <v>3200</v>
      </c>
      <c r="B112" s="31">
        <v>0.75753922852679989</v>
      </c>
      <c r="C112" s="31">
        <v>0.75444372089920042</v>
      </c>
      <c r="D112" s="31">
        <v>0.74929692726002184</v>
      </c>
      <c r="E112" s="32">
        <v>0.74211734819719577</v>
      </c>
      <c r="G112" s="62">
        <v>3200</v>
      </c>
      <c r="H112" s="31">
        <v>-1.7222192082021781</v>
      </c>
      <c r="I112" s="31">
        <v>-1.7191237005745785</v>
      </c>
      <c r="J112" s="31">
        <v>-1.7139769069353996</v>
      </c>
      <c r="K112" s="32">
        <v>-1.7067973278725737</v>
      </c>
      <c r="M112" s="62">
        <v>3200</v>
      </c>
      <c r="N112" s="31">
        <v>-1.8539620067291489</v>
      </c>
      <c r="O112" s="31">
        <v>-6.4321893473102207</v>
      </c>
      <c r="P112" s="31">
        <v>-14.025922478632509</v>
      </c>
      <c r="Q112" s="32">
        <v>24.992840576245257</v>
      </c>
      <c r="S112" s="62">
        <v>3200</v>
      </c>
      <c r="T112" s="31">
        <v>2.2662635870835572</v>
      </c>
      <c r="U112" s="31">
        <v>6.8444909276646282</v>
      </c>
      <c r="V112" s="31"/>
      <c r="W112" s="31"/>
      <c r="X112" s="31"/>
      <c r="Y112" s="31"/>
      <c r="Z112" s="31">
        <v>14.438224058986917</v>
      </c>
      <c r="AA112" s="32">
        <v>24.992840576245257</v>
      </c>
      <c r="AC112" s="62">
        <v>3200</v>
      </c>
      <c r="AD112" s="31">
        <v>4.3634376000465465E-4</v>
      </c>
      <c r="AE112" s="31">
        <v>4.355577912710844E-4</v>
      </c>
      <c r="AF112" s="31">
        <v>4.3425098819863676E-4</v>
      </c>
      <c r="AG112" s="32">
        <v>4.3242804820221609E-4</v>
      </c>
      <c r="AI112" s="62">
        <v>3200</v>
      </c>
      <c r="AJ112" s="31">
        <v>-4.3634376000465465E-4</v>
      </c>
      <c r="AK112" s="31">
        <v>-4.355577912710844E-4</v>
      </c>
      <c r="AL112" s="31">
        <v>-4.3425098819863676E-4</v>
      </c>
      <c r="AM112" s="32">
        <v>-4.3242804820221609E-4</v>
      </c>
    </row>
    <row r="113" spans="1:39">
      <c r="A113" s="62">
        <v>3400</v>
      </c>
      <c r="B113" s="31">
        <v>0.81042919437023198</v>
      </c>
      <c r="C113" s="31">
        <v>0.80723841814185715</v>
      </c>
      <c r="D113" s="31">
        <v>0.80193322468995953</v>
      </c>
      <c r="E113" s="32">
        <v>0.7945326839840835</v>
      </c>
      <c r="G113" s="62">
        <v>3400</v>
      </c>
      <c r="H113" s="31">
        <v>-1.7751091740456098</v>
      </c>
      <c r="I113" s="31">
        <v>-1.7719183978172353</v>
      </c>
      <c r="J113" s="31">
        <v>-1.7666132043653378</v>
      </c>
      <c r="K113" s="32">
        <v>-1.7592126636594616</v>
      </c>
      <c r="M113" s="62">
        <v>3400</v>
      </c>
      <c r="N113" s="31">
        <v>-1.9236608384296718</v>
      </c>
      <c r="O113" s="31">
        <v>-6.6427895642562707</v>
      </c>
      <c r="P113" s="31">
        <v>-14.470230512554808</v>
      </c>
      <c r="Q113" s="32">
        <v>25.761981777545454</v>
      </c>
      <c r="S113" s="62">
        <v>3400</v>
      </c>
      <c r="T113" s="31">
        <v>2.3359624187840797</v>
      </c>
      <c r="U113" s="31">
        <v>7.0550911446106799</v>
      </c>
      <c r="V113" s="31"/>
      <c r="W113" s="31"/>
      <c r="X113" s="31"/>
      <c r="Y113" s="31"/>
      <c r="Z113" s="31">
        <v>14.882532092909214</v>
      </c>
      <c r="AA113" s="32">
        <v>25.761981777545454</v>
      </c>
      <c r="AC113" s="62">
        <v>3400</v>
      </c>
      <c r="AD113" s="31">
        <v>3.984147070623351E-4</v>
      </c>
      <c r="AE113" s="31">
        <v>3.9769705842965567E-4</v>
      </c>
      <c r="AF113" s="31">
        <v>3.965038488297479E-4</v>
      </c>
      <c r="AG113" s="32">
        <v>3.9483936735610795E-4</v>
      </c>
      <c r="AI113" s="62">
        <v>3400</v>
      </c>
      <c r="AJ113" s="31">
        <v>-3.984147070623351E-4</v>
      </c>
      <c r="AK113" s="31">
        <v>-3.9769705842965567E-4</v>
      </c>
      <c r="AL113" s="31">
        <v>-3.965038488297479E-4</v>
      </c>
      <c r="AM113" s="32">
        <v>-3.9483936735610795E-4</v>
      </c>
    </row>
    <row r="114" spans="1:39">
      <c r="A114" s="62">
        <v>3600</v>
      </c>
      <c r="B114" s="31">
        <v>0.86178513597073036</v>
      </c>
      <c r="C114" s="31">
        <v>0.85850185431869463</v>
      </c>
      <c r="D114" s="31">
        <v>0.85304285529324841</v>
      </c>
      <c r="E114" s="32">
        <v>0.84542776173116452</v>
      </c>
      <c r="G114" s="62">
        <v>3600</v>
      </c>
      <c r="H114" s="31">
        <v>-1.8264651156461085</v>
      </c>
      <c r="I114" s="31">
        <v>-1.8231818339940729</v>
      </c>
      <c r="J114" s="31">
        <v>-1.8177228349686263</v>
      </c>
      <c r="K114" s="32">
        <v>-1.8101077414065423</v>
      </c>
      <c r="M114" s="62">
        <v>3600</v>
      </c>
      <c r="N114" s="31">
        <v>-1.9913381203744387</v>
      </c>
      <c r="O114" s="31">
        <v>-6.8472815178822311</v>
      </c>
      <c r="P114" s="31">
        <v>-14.90165180540065</v>
      </c>
      <c r="Q114" s="32">
        <v>26.508814754020428</v>
      </c>
      <c r="S114" s="62">
        <v>3600</v>
      </c>
      <c r="T114" s="31">
        <v>2.4036397007288466</v>
      </c>
      <c r="U114" s="31">
        <v>7.2595830982366385</v>
      </c>
      <c r="V114" s="31"/>
      <c r="W114" s="31"/>
      <c r="X114" s="31"/>
      <c r="Y114" s="31"/>
      <c r="Z114" s="31">
        <v>15.313953385755056</v>
      </c>
      <c r="AA114" s="32">
        <v>26.508814754020428</v>
      </c>
      <c r="AC114" s="62">
        <v>3600</v>
      </c>
      <c r="AD114" s="31">
        <v>3.6567897081804767E-4</v>
      </c>
      <c r="AE114" s="31">
        <v>3.650202877705714E-4</v>
      </c>
      <c r="AF114" s="31">
        <v>3.6392511821299725E-4</v>
      </c>
      <c r="AG114" s="32">
        <v>3.6239739882554218E-4</v>
      </c>
      <c r="AI114" s="62">
        <v>3600</v>
      </c>
      <c r="AJ114" s="31">
        <v>-3.6567897081804767E-4</v>
      </c>
      <c r="AK114" s="31">
        <v>-3.650202877705714E-4</v>
      </c>
      <c r="AL114" s="31">
        <v>-3.6392511821299725E-4</v>
      </c>
      <c r="AM114" s="32">
        <v>-3.6239739882554218E-4</v>
      </c>
    </row>
    <row r="115" spans="1:39">
      <c r="A115" s="62">
        <v>3800</v>
      </c>
      <c r="B115" s="31">
        <v>0.91173326125170928</v>
      </c>
      <c r="C115" s="31">
        <v>0.90836001001979261</v>
      </c>
      <c r="D115" s="31">
        <v>0.90275142168068345</v>
      </c>
      <c r="E115" s="32">
        <v>0.89492765678267872</v>
      </c>
      <c r="G115" s="62">
        <v>3800</v>
      </c>
      <c r="H115" s="31">
        <v>-1.8764132409270868</v>
      </c>
      <c r="I115" s="31">
        <v>-1.8730399896951702</v>
      </c>
      <c r="J115" s="31">
        <v>-1.8674314013560613</v>
      </c>
      <c r="K115" s="32">
        <v>-1.8596076364580563</v>
      </c>
      <c r="M115" s="62">
        <v>3800</v>
      </c>
      <c r="N115" s="31">
        <v>-2.0571601704022489</v>
      </c>
      <c r="O115" s="31">
        <v>-7.0461677499392126</v>
      </c>
      <c r="P115" s="31">
        <v>-15.321246580851845</v>
      </c>
      <c r="Q115" s="32">
        <v>27.235174857844836</v>
      </c>
      <c r="S115" s="62">
        <v>3800</v>
      </c>
      <c r="T115" s="31">
        <v>2.4694617507566572</v>
      </c>
      <c r="U115" s="31">
        <v>7.45846933029362</v>
      </c>
      <c r="V115" s="31"/>
      <c r="W115" s="31"/>
      <c r="X115" s="31"/>
      <c r="Y115" s="31"/>
      <c r="Z115" s="31">
        <v>15.733548161206253</v>
      </c>
      <c r="AA115" s="32">
        <v>27.235174857844836</v>
      </c>
      <c r="AC115" s="62">
        <v>3800</v>
      </c>
      <c r="AD115" s="31">
        <v>3.3719283847177475E-4</v>
      </c>
      <c r="AE115" s="31">
        <v>3.3658546636630498E-4</v>
      </c>
      <c r="AF115" s="31">
        <v>3.355756097401496E-4</v>
      </c>
      <c r="AG115" s="32">
        <v>3.3416689860892994E-4</v>
      </c>
      <c r="AI115" s="62">
        <v>3800</v>
      </c>
      <c r="AJ115" s="31">
        <v>-3.3719283847177475E-4</v>
      </c>
      <c r="AK115" s="31">
        <v>-3.3658546636630498E-4</v>
      </c>
      <c r="AL115" s="31">
        <v>-3.355756097401496E-4</v>
      </c>
      <c r="AM115" s="32">
        <v>-3.3416689860892994E-4</v>
      </c>
    </row>
    <row r="116" spans="1:39">
      <c r="A116" s="62">
        <v>4000</v>
      </c>
      <c r="B116" s="31">
        <v>0.96038336670566038</v>
      </c>
      <c r="C116" s="31">
        <v>0.95692248396556934</v>
      </c>
      <c r="D116" s="31">
        <v>0.95116819374388617</v>
      </c>
      <c r="E116" s="32">
        <v>0.94314118032672967</v>
      </c>
      <c r="G116" s="62">
        <v>4000</v>
      </c>
      <c r="H116" s="31">
        <v>-1.9250633463810385</v>
      </c>
      <c r="I116" s="31">
        <v>-1.9216024636409474</v>
      </c>
      <c r="J116" s="31">
        <v>-1.9158481734192643</v>
      </c>
      <c r="K116" s="32">
        <v>-1.9078211600021076</v>
      </c>
      <c r="M116" s="62">
        <v>4000</v>
      </c>
      <c r="N116" s="31">
        <v>-2.1212716792333461</v>
      </c>
      <c r="O116" s="31">
        <v>-7.239885454227025</v>
      </c>
      <c r="P116" s="31">
        <v>-15.729937196541512</v>
      </c>
      <c r="Q116" s="32">
        <v>27.942658781411787</v>
      </c>
      <c r="S116" s="62">
        <v>4000</v>
      </c>
      <c r="T116" s="31">
        <v>2.5335732595877545</v>
      </c>
      <c r="U116" s="31">
        <v>7.6521870345814325</v>
      </c>
      <c r="V116" s="31"/>
      <c r="W116" s="31"/>
      <c r="X116" s="31"/>
      <c r="Y116" s="31"/>
      <c r="Z116" s="31">
        <v>16.142238776895919</v>
      </c>
      <c r="AA116" s="32">
        <v>27.942658781411787</v>
      </c>
      <c r="AC116" s="62">
        <v>4000</v>
      </c>
      <c r="AD116" s="31">
        <v>3.1222217885704427E-4</v>
      </c>
      <c r="AE116" s="31">
        <v>3.1165978541177944E-4</v>
      </c>
      <c r="AF116" s="31">
        <v>3.1072471325075589E-4</v>
      </c>
      <c r="AG116" s="32">
        <v>3.0942032357046797E-4</v>
      </c>
      <c r="AI116" s="62">
        <v>4000</v>
      </c>
      <c r="AJ116" s="31">
        <v>-3.1222217885704427E-4</v>
      </c>
      <c r="AK116" s="31">
        <v>-3.1165978541177944E-4</v>
      </c>
      <c r="AL116" s="31">
        <v>-3.1072471325075589E-4</v>
      </c>
      <c r="AM116" s="32">
        <v>-3.0942032357046797E-4</v>
      </c>
    </row>
    <row r="117" spans="1:39">
      <c r="A117" s="62">
        <v>4200</v>
      </c>
      <c r="B117" s="31">
        <v>1.0078316782246277</v>
      </c>
      <c r="C117" s="31">
        <v>1.0042853287201807</v>
      </c>
      <c r="D117" s="31">
        <v>0.99838893586071731</v>
      </c>
      <c r="E117" s="32">
        <v>0.99016369473238752</v>
      </c>
      <c r="G117" s="62">
        <v>4200</v>
      </c>
      <c r="H117" s="31">
        <v>-1.9725116579000062</v>
      </c>
      <c r="I117" s="31">
        <v>-1.9689653083955587</v>
      </c>
      <c r="J117" s="31">
        <v>-1.9630689155360956</v>
      </c>
      <c r="K117" s="32">
        <v>-1.9548436744077657</v>
      </c>
      <c r="M117" s="62">
        <v>4200</v>
      </c>
      <c r="N117" s="31">
        <v>-2.1837994541391637</v>
      </c>
      <c r="O117" s="31">
        <v>-7.4288177883714459</v>
      </c>
      <c r="P117" s="31">
        <v>-16.128532008766054</v>
      </c>
      <c r="Q117" s="32">
        <v>28.632665869512348</v>
      </c>
      <c r="S117" s="62">
        <v>4200</v>
      </c>
      <c r="T117" s="31">
        <v>2.5961010344935715</v>
      </c>
      <c r="U117" s="31">
        <v>7.8411193687258534</v>
      </c>
      <c r="V117" s="31"/>
      <c r="W117" s="31"/>
      <c r="X117" s="31"/>
      <c r="Y117" s="31"/>
      <c r="Z117" s="31">
        <v>16.54083358912046</v>
      </c>
      <c r="AA117" s="32">
        <v>28.632665869512348</v>
      </c>
      <c r="AC117" s="62">
        <v>4200</v>
      </c>
      <c r="AD117" s="31">
        <v>2.9018823535498987E-4</v>
      </c>
      <c r="AE117" s="31">
        <v>2.8966553077950443E-4</v>
      </c>
      <c r="AF117" s="31">
        <v>2.8879644793173778E-4</v>
      </c>
      <c r="AG117" s="32">
        <v>2.875841108039794E-4</v>
      </c>
      <c r="AI117" s="62">
        <v>4200</v>
      </c>
      <c r="AJ117" s="31">
        <v>-2.9018823535498987E-4</v>
      </c>
      <c r="AK117" s="31">
        <v>-2.8966553077950443E-4</v>
      </c>
      <c r="AL117" s="31">
        <v>-2.8879644793173778E-4</v>
      </c>
      <c r="AM117" s="32">
        <v>-2.875841108039794E-4</v>
      </c>
    </row>
    <row r="118" spans="1:39">
      <c r="A118" s="62">
        <v>4400</v>
      </c>
      <c r="B118" s="31">
        <v>1.0541630893098906</v>
      </c>
      <c r="C118" s="31">
        <v>1.0505332848696036</v>
      </c>
      <c r="D118" s="31">
        <v>1.0444981343701631</v>
      </c>
      <c r="E118" s="32">
        <v>1.0360793316738688</v>
      </c>
      <c r="G118" s="62">
        <v>4400</v>
      </c>
      <c r="H118" s="31">
        <v>-2.0188430689852686</v>
      </c>
      <c r="I118" s="31">
        <v>-2.0152132645449821</v>
      </c>
      <c r="J118" s="31">
        <v>-2.0091781140455414</v>
      </c>
      <c r="K118" s="32">
        <v>-2.0007593113492472</v>
      </c>
      <c r="M118" s="62">
        <v>4400</v>
      </c>
      <c r="N118" s="31">
        <v>-2.2448553684734414</v>
      </c>
      <c r="O118" s="31">
        <v>-7.613302786052432</v>
      </c>
      <c r="P118" s="31">
        <v>-16.517744174814279</v>
      </c>
      <c r="Q118" s="32">
        <v>29.306430668028991</v>
      </c>
      <c r="S118" s="62">
        <v>4400</v>
      </c>
      <c r="T118" s="31">
        <v>2.6571569488278497</v>
      </c>
      <c r="U118" s="31">
        <v>8.0256043664068404</v>
      </c>
      <c r="V118" s="31"/>
      <c r="W118" s="31"/>
      <c r="X118" s="31"/>
      <c r="Y118" s="31"/>
      <c r="Z118" s="31">
        <v>16.930045755168685</v>
      </c>
      <c r="AA118" s="32">
        <v>29.306430668028991</v>
      </c>
      <c r="AC118" s="62">
        <v>4400</v>
      </c>
      <c r="AD118" s="31">
        <v>2.706292427935795E-4</v>
      </c>
      <c r="AE118" s="31">
        <v>2.7014176905676407E-4</v>
      </c>
      <c r="AF118" s="31">
        <v>2.6933126330787229E-4</v>
      </c>
      <c r="AG118" s="32">
        <v>2.6820063897882451E-4</v>
      </c>
      <c r="AI118" s="62">
        <v>4400</v>
      </c>
      <c r="AJ118" s="31">
        <v>-2.706292427935795E-4</v>
      </c>
      <c r="AK118" s="31">
        <v>-2.7014176905676407E-4</v>
      </c>
      <c r="AL118" s="31">
        <v>-2.6933126330787229E-4</v>
      </c>
      <c r="AM118" s="32">
        <v>-2.6820063897882451E-4</v>
      </c>
    </row>
    <row r="119" spans="1:39">
      <c r="A119" s="62">
        <v>4600</v>
      </c>
      <c r="B119" s="31">
        <v>1.0994529459052658</v>
      </c>
      <c r="C119" s="31">
        <v>1.0957415626399913</v>
      </c>
      <c r="D119" s="31">
        <v>1.0895707738453022</v>
      </c>
      <c r="E119" s="32">
        <v>1.0809627609468979</v>
      </c>
      <c r="G119" s="62">
        <v>4600</v>
      </c>
      <c r="H119" s="31">
        <v>-2.064132925580644</v>
      </c>
      <c r="I119" s="31">
        <v>-2.0604215423153693</v>
      </c>
      <c r="J119" s="31">
        <v>-2.0542507535206802</v>
      </c>
      <c r="K119" s="32">
        <v>-2.0456427406222759</v>
      </c>
      <c r="M119" s="62">
        <v>4600</v>
      </c>
      <c r="N119" s="31">
        <v>-2.3045387137402242</v>
      </c>
      <c r="O119" s="31">
        <v>-7.7936404639529391</v>
      </c>
      <c r="P119" s="31">
        <v>-16.898206646657851</v>
      </c>
      <c r="Q119" s="32">
        <v>29.965048879498426</v>
      </c>
      <c r="S119" s="62">
        <v>4600</v>
      </c>
      <c r="T119" s="31">
        <v>2.7168402940946321</v>
      </c>
      <c r="U119" s="31">
        <v>8.2059420443073456</v>
      </c>
      <c r="V119" s="31"/>
      <c r="W119" s="31"/>
      <c r="X119" s="31"/>
      <c r="Y119" s="31"/>
      <c r="Z119" s="31">
        <v>17.310508227012257</v>
      </c>
      <c r="AA119" s="32">
        <v>29.965048879498426</v>
      </c>
      <c r="AC119" s="62">
        <v>4600</v>
      </c>
      <c r="AD119" s="31">
        <v>2.5317276784648759E-4</v>
      </c>
      <c r="AE119" s="31">
        <v>2.5271673776663343E-4</v>
      </c>
      <c r="AF119" s="31">
        <v>2.5195851230036726E-4</v>
      </c>
      <c r="AG119" s="32">
        <v>2.5090081695368241E-4</v>
      </c>
      <c r="AI119" s="62">
        <v>4600</v>
      </c>
      <c r="AJ119" s="31">
        <v>-2.5317276784648759E-4</v>
      </c>
      <c r="AK119" s="31">
        <v>-2.5271673776663343E-4</v>
      </c>
      <c r="AL119" s="31">
        <v>-2.5195851230036726E-4</v>
      </c>
      <c r="AM119" s="32">
        <v>-2.5090081695368241E-4</v>
      </c>
    </row>
    <row r="120" spans="1:39">
      <c r="A120" s="62">
        <v>4800</v>
      </c>
      <c r="B120" s="31">
        <v>1.1437684852889656</v>
      </c>
      <c r="C120" s="31">
        <v>1.1399772781977093</v>
      </c>
      <c r="D120" s="31">
        <v>1.1336737690840146</v>
      </c>
      <c r="E120" s="32">
        <v>1.1248806164480682</v>
      </c>
      <c r="G120" s="62">
        <v>4800</v>
      </c>
      <c r="H120" s="31">
        <v>-2.1084484649643436</v>
      </c>
      <c r="I120" s="31">
        <v>-2.1046572578730873</v>
      </c>
      <c r="J120" s="31">
        <v>-2.0983537487593922</v>
      </c>
      <c r="K120" s="32">
        <v>-2.0895605961234458</v>
      </c>
      <c r="M120" s="62">
        <v>4800</v>
      </c>
      <c r="N120" s="31">
        <v>-2.3629380957773733</v>
      </c>
      <c r="O120" s="31">
        <v>-7.9700985512187934</v>
      </c>
      <c r="P120" s="31">
        <v>-17.270484258522156</v>
      </c>
      <c r="Q120" s="32">
        <v>30.609498287893672</v>
      </c>
      <c r="S120" s="62">
        <v>4800</v>
      </c>
      <c r="T120" s="31">
        <v>2.7752396761317812</v>
      </c>
      <c r="U120" s="31">
        <v>8.3824001315732009</v>
      </c>
      <c r="V120" s="31"/>
      <c r="W120" s="31"/>
      <c r="X120" s="31"/>
      <c r="Y120" s="31"/>
      <c r="Z120" s="31">
        <v>17.682785838876566</v>
      </c>
      <c r="AA120" s="32">
        <v>30.609498287893672</v>
      </c>
      <c r="AC120" s="62">
        <v>4800</v>
      </c>
      <c r="AD120" s="31">
        <v>2.3751545876863275E-4</v>
      </c>
      <c r="AE120" s="31">
        <v>2.3708763157951528E-4</v>
      </c>
      <c r="AF120" s="31">
        <v>2.3637629808578235E-4</v>
      </c>
      <c r="AG120" s="32">
        <v>2.3538401523623978E-4</v>
      </c>
      <c r="AI120" s="62">
        <v>4800</v>
      </c>
      <c r="AJ120" s="31">
        <v>-2.3751545876863275E-4</v>
      </c>
      <c r="AK120" s="31">
        <v>-2.3708763157951528E-4</v>
      </c>
      <c r="AL120" s="31">
        <v>-2.3637629808578235E-4</v>
      </c>
      <c r="AM120" s="32">
        <v>-2.3538401523623978E-4</v>
      </c>
    </row>
    <row r="121" spans="1:39">
      <c r="A121" s="62">
        <v>5000</v>
      </c>
      <c r="B121" s="31">
        <v>1.1871700076083069</v>
      </c>
      <c r="C121" s="31">
        <v>1.1833006230738072</v>
      </c>
      <c r="D121" s="31">
        <v>1.1768671310248338</v>
      </c>
      <c r="E121" s="32">
        <v>1.1678926571963018</v>
      </c>
      <c r="G121" s="62">
        <v>5000</v>
      </c>
      <c r="H121" s="31">
        <v>-2.1518499872836845</v>
      </c>
      <c r="I121" s="31">
        <v>-2.1479806027491848</v>
      </c>
      <c r="J121" s="31">
        <v>-2.1415471107002118</v>
      </c>
      <c r="K121" s="32">
        <v>-2.13257263687168</v>
      </c>
      <c r="M121" s="62">
        <v>5000</v>
      </c>
      <c r="N121" s="31">
        <v>-2.4201329786146415</v>
      </c>
      <c r="O121" s="31">
        <v>-8.1429171543409833</v>
      </c>
      <c r="P121" s="31">
        <v>-17.635083568493844</v>
      </c>
      <c r="Q121" s="32">
        <v>31.240655795421176</v>
      </c>
      <c r="S121" s="62">
        <v>5000</v>
      </c>
      <c r="T121" s="31">
        <v>2.8324345589690498</v>
      </c>
      <c r="U121" s="31">
        <v>8.5552187346953907</v>
      </c>
      <c r="V121" s="31"/>
      <c r="W121" s="31"/>
      <c r="X121" s="31"/>
      <c r="Y121" s="31"/>
      <c r="Z121" s="31">
        <v>18.04738514884825</v>
      </c>
      <c r="AA121" s="32">
        <v>31.240655795421176</v>
      </c>
      <c r="AC121" s="62">
        <v>5000</v>
      </c>
      <c r="AD121" s="31">
        <v>2.2340800512238345E-4</v>
      </c>
      <c r="AE121" s="31">
        <v>2.2300558913079547E-4</v>
      </c>
      <c r="AF121" s="31">
        <v>2.2233650595770228E-4</v>
      </c>
      <c r="AG121" s="32">
        <v>2.214031606795349E-4</v>
      </c>
      <c r="AI121" s="62">
        <v>5000</v>
      </c>
      <c r="AJ121" s="31">
        <v>-2.2340800512238345E-4</v>
      </c>
      <c r="AK121" s="31">
        <v>-2.2300558913079547E-4</v>
      </c>
      <c r="AL121" s="31">
        <v>-2.2233650595770228E-4</v>
      </c>
      <c r="AM121" s="32">
        <v>-2.214031606795349E-4</v>
      </c>
    </row>
    <row r="122" spans="1:39">
      <c r="A122" s="73">
        <v>5200</v>
      </c>
      <c r="B122" s="41">
        <v>1.2297118383774468</v>
      </c>
      <c r="C122" s="41">
        <v>1.2257658249280452</v>
      </c>
      <c r="D122" s="41">
        <v>1.2192049246283936</v>
      </c>
      <c r="E122" s="42">
        <v>1.2100527211932108</v>
      </c>
      <c r="G122" s="73">
        <v>5200</v>
      </c>
      <c r="H122" s="41">
        <v>-2.194391818052825</v>
      </c>
      <c r="I122" s="41">
        <v>-2.1904458046034234</v>
      </c>
      <c r="J122" s="41">
        <v>-2.1838849043037718</v>
      </c>
      <c r="K122" s="42">
        <v>-2.1747327008685891</v>
      </c>
      <c r="M122" s="73">
        <v>5200</v>
      </c>
      <c r="N122" s="41">
        <v>-2.4761949528610976</v>
      </c>
      <c r="O122" s="41">
        <v>-8.3123125896828203</v>
      </c>
      <c r="P122" s="41">
        <v>-17.99246094408992</v>
      </c>
      <c r="Q122" s="42">
        <v>31.859311419441575</v>
      </c>
      <c r="S122" s="73">
        <v>5200</v>
      </c>
      <c r="T122" s="41">
        <v>2.8884965332155059</v>
      </c>
      <c r="U122" s="41">
        <v>8.7246141700372277</v>
      </c>
      <c r="V122" s="41"/>
      <c r="W122" s="41"/>
      <c r="X122" s="41"/>
      <c r="Y122" s="41"/>
      <c r="Z122" s="41">
        <v>18.404762524444326</v>
      </c>
      <c r="AA122" s="42">
        <v>31.859311419441575</v>
      </c>
      <c r="AC122" s="73">
        <v>5200</v>
      </c>
      <c r="AD122" s="41">
        <v>2.1064381982467993E-4</v>
      </c>
      <c r="AE122" s="41">
        <v>2.1026439545454516E-4</v>
      </c>
      <c r="AF122" s="41">
        <v>2.0963353965650173E-4</v>
      </c>
      <c r="AG122" s="42">
        <v>2.0875352009542644E-4</v>
      </c>
      <c r="AI122" s="73">
        <v>5200</v>
      </c>
      <c r="AJ122" s="41">
        <v>-2.1064381982467993E-4</v>
      </c>
      <c r="AK122" s="41">
        <v>-2.1026439545454516E-4</v>
      </c>
      <c r="AL122" s="41">
        <v>-2.0963353965650173E-4</v>
      </c>
      <c r="AM122" s="42">
        <v>-2.0875352009542644E-4</v>
      </c>
    </row>
    <row r="126" spans="1:39">
      <c r="A126" s="53"/>
      <c r="B126" s="74" t="s">
        <v>18</v>
      </c>
      <c r="C126" s="75"/>
      <c r="D126" s="75"/>
      <c r="E126" s="76"/>
      <c r="G126" s="16"/>
      <c r="H126" s="6" t="s">
        <v>63</v>
      </c>
      <c r="I126" s="6"/>
      <c r="J126" s="6"/>
      <c r="K126" s="7"/>
      <c r="M126" s="77"/>
      <c r="N126" s="78" t="s">
        <v>64</v>
      </c>
      <c r="O126" s="79"/>
      <c r="P126" s="79"/>
      <c r="Q126" s="80"/>
      <c r="S126" s="77"/>
      <c r="T126" s="81" t="s">
        <v>13</v>
      </c>
      <c r="U126" s="81" t="s">
        <v>13</v>
      </c>
      <c r="V126" s="81"/>
      <c r="W126" s="81"/>
      <c r="X126" s="81"/>
      <c r="Y126" s="81"/>
      <c r="Z126" s="81" t="s">
        <v>13</v>
      </c>
      <c r="AA126" s="81" t="s">
        <v>13</v>
      </c>
      <c r="AB126" s="82" t="s">
        <v>13</v>
      </c>
    </row>
    <row r="127" spans="1:39">
      <c r="A127" s="54"/>
      <c r="B127" s="14" t="s">
        <v>13</v>
      </c>
      <c r="C127" s="55" t="s">
        <v>14</v>
      </c>
      <c r="D127" s="55" t="s">
        <v>15</v>
      </c>
      <c r="E127" s="56" t="s">
        <v>16</v>
      </c>
      <c r="G127" s="36"/>
      <c r="H127" s="14"/>
      <c r="I127" s="55"/>
      <c r="J127" s="55"/>
      <c r="K127" s="56"/>
      <c r="M127" s="30"/>
      <c r="N127" s="37" t="s">
        <v>13</v>
      </c>
      <c r="O127" s="37" t="s">
        <v>14</v>
      </c>
      <c r="P127" s="37" t="s">
        <v>15</v>
      </c>
      <c r="Q127" s="35" t="s">
        <v>16</v>
      </c>
      <c r="S127" s="30"/>
      <c r="T127" s="10" t="s">
        <v>35</v>
      </c>
      <c r="U127" s="10" t="s">
        <v>36</v>
      </c>
      <c r="V127" s="10"/>
      <c r="W127" s="10"/>
      <c r="X127" s="10"/>
      <c r="Y127" s="10"/>
      <c r="Z127" s="10" t="s">
        <v>37</v>
      </c>
      <c r="AA127" s="10" t="s">
        <v>38</v>
      </c>
      <c r="AB127" s="12" t="s">
        <v>39</v>
      </c>
    </row>
    <row r="128" spans="1:39">
      <c r="A128" s="62">
        <v>10</v>
      </c>
      <c r="B128" s="83">
        <v>4041.9987510828723</v>
      </c>
      <c r="C128" s="14">
        <v>4025.8018198592467</v>
      </c>
      <c r="D128" s="14">
        <v>3998.8717416217683</v>
      </c>
      <c r="E128" s="56">
        <v>3961.3053188294762</v>
      </c>
      <c r="G128" s="62">
        <v>10</v>
      </c>
      <c r="H128" s="38">
        <v>-0.80198019801980203</v>
      </c>
      <c r="I128" s="38"/>
      <c r="K128" s="64"/>
      <c r="M128" s="30">
        <v>10</v>
      </c>
      <c r="N128" s="37">
        <v>5061.2295203136418</v>
      </c>
      <c r="O128" s="37">
        <v>5045.0325890900158</v>
      </c>
      <c r="P128" s="37">
        <v>5018.1025108525382</v>
      </c>
      <c r="Q128" s="35">
        <v>4980.5360880602457</v>
      </c>
      <c r="S128" s="30">
        <v>10</v>
      </c>
      <c r="T128" s="84">
        <v>5</v>
      </c>
      <c r="U128" s="84">
        <v>0</v>
      </c>
      <c r="V128" s="84"/>
      <c r="W128" s="84"/>
      <c r="X128" s="84"/>
      <c r="Y128" s="84"/>
      <c r="Z128" s="84">
        <v>0</v>
      </c>
      <c r="AA128" s="84">
        <v>0.412301580354408</v>
      </c>
      <c r="AB128" s="85">
        <v>-0.964679979675378</v>
      </c>
    </row>
    <row r="129" spans="1:28">
      <c r="A129" s="62">
        <v>22.857142857142858</v>
      </c>
      <c r="B129" s="14">
        <v>3594.8816291543876</v>
      </c>
      <c r="C129" s="14">
        <v>3579.6058676056055</v>
      </c>
      <c r="D129" s="14">
        <v>3554.2073863769074</v>
      </c>
      <c r="E129" s="56">
        <v>3518.7774824714857</v>
      </c>
      <c r="G129" s="62">
        <v>22.857142857142858</v>
      </c>
      <c r="H129" s="38">
        <v>-0.70438532837267143</v>
      </c>
      <c r="I129" s="38"/>
      <c r="K129" s="64"/>
      <c r="M129" s="30">
        <v>22.857142857142858</v>
      </c>
      <c r="N129" s="86">
        <v>5125.9702904220658</v>
      </c>
      <c r="O129" s="37">
        <v>5110.6945288732832</v>
      </c>
      <c r="P129" s="37">
        <v>5085.296047644586</v>
      </c>
      <c r="Q129" s="35">
        <v>5049.8661437391638</v>
      </c>
      <c r="S129" s="30">
        <v>22.857142857142858</v>
      </c>
      <c r="T129" s="84">
        <v>5</v>
      </c>
      <c r="U129" s="84">
        <v>0</v>
      </c>
      <c r="V129" s="84"/>
      <c r="W129" s="84"/>
      <c r="X129" s="84"/>
      <c r="Y129" s="84"/>
      <c r="Z129" s="84">
        <v>0</v>
      </c>
      <c r="AA129" s="84">
        <v>0.412301580354408</v>
      </c>
      <c r="AB129" s="85">
        <v>-0.96467997967537777</v>
      </c>
    </row>
    <row r="130" spans="1:28">
      <c r="A130" s="62">
        <v>35.714285714285715</v>
      </c>
      <c r="B130" s="14">
        <v>3281.5388913009169</v>
      </c>
      <c r="C130" s="14">
        <v>3266.9433369270573</v>
      </c>
      <c r="D130" s="14">
        <v>3242.6758126793734</v>
      </c>
      <c r="E130" s="56">
        <v>3208.8235502398993</v>
      </c>
      <c r="G130" s="62">
        <v>35.714285714285715</v>
      </c>
      <c r="H130" s="38">
        <v>-0.63506878468074612</v>
      </c>
      <c r="I130" s="38"/>
      <c r="K130" s="64"/>
      <c r="M130" s="30">
        <v>35.714285714285715</v>
      </c>
      <c r="N130" s="37">
        <v>5190.5920255778219</v>
      </c>
      <c r="O130" s="37">
        <v>5175.9964712039618</v>
      </c>
      <c r="P130" s="37">
        <v>5151.7289469562793</v>
      </c>
      <c r="Q130" s="35">
        <v>5117.8766845168047</v>
      </c>
      <c r="S130" s="30">
        <v>35.714285714285715</v>
      </c>
      <c r="T130" s="84">
        <v>4.9999999999999964</v>
      </c>
      <c r="U130" s="84">
        <v>0</v>
      </c>
      <c r="V130" s="84"/>
      <c r="W130" s="84"/>
      <c r="X130" s="84"/>
      <c r="Y130" s="84"/>
      <c r="Z130" s="84">
        <v>0</v>
      </c>
      <c r="AA130" s="84">
        <v>0.412301580354408</v>
      </c>
      <c r="AB130" s="85">
        <v>-0.96467997967537777</v>
      </c>
    </row>
    <row r="131" spans="1:28">
      <c r="A131" s="62">
        <v>48.571428571428569</v>
      </c>
      <c r="B131" s="14">
        <v>3032.0335277340764</v>
      </c>
      <c r="C131" s="14">
        <v>3018.0031928011063</v>
      </c>
      <c r="D131" s="14">
        <v>2994.675439399784</v>
      </c>
      <c r="E131" s="56">
        <v>2962.1341211258255</v>
      </c>
      <c r="G131" s="62">
        <v>48.571428571428569</v>
      </c>
      <c r="H131" s="38">
        <v>-0.57963900216508146</v>
      </c>
      <c r="I131" s="38"/>
      <c r="K131" s="64"/>
      <c r="M131" s="30">
        <v>48.571428571428569</v>
      </c>
      <c r="N131" s="37">
        <v>5255.1569570422043</v>
      </c>
      <c r="O131" s="37">
        <v>5241.1266221092337</v>
      </c>
      <c r="P131" s="37">
        <v>5217.7988687079123</v>
      </c>
      <c r="Q131" s="35">
        <v>5185.2575504339538</v>
      </c>
      <c r="S131" s="30">
        <v>48.571428571428569</v>
      </c>
      <c r="T131" s="84">
        <v>5.0000000000000036</v>
      </c>
      <c r="U131" s="84">
        <v>0</v>
      </c>
      <c r="V131" s="84"/>
      <c r="W131" s="84"/>
      <c r="X131" s="84"/>
      <c r="Y131" s="84"/>
      <c r="Z131" s="84">
        <v>0</v>
      </c>
      <c r="AA131" s="84">
        <v>0.41230158035440806</v>
      </c>
      <c r="AB131" s="85">
        <v>-0.96467997967537789</v>
      </c>
    </row>
    <row r="132" spans="1:28">
      <c r="A132" s="62">
        <v>61.428571428571431</v>
      </c>
      <c r="B132" s="14">
        <v>2821.9772206382431</v>
      </c>
      <c r="C132" s="14">
        <v>2808.4410471231149</v>
      </c>
      <c r="D132" s="14">
        <v>2785.9349188469905</v>
      </c>
      <c r="E132" s="56">
        <v>2754.5397360041193</v>
      </c>
      <c r="G132" s="62">
        <v>61.428571428571431</v>
      </c>
      <c r="H132" s="38">
        <v>-0.53299188229078132</v>
      </c>
      <c r="I132" s="38"/>
      <c r="K132" s="64"/>
      <c r="M132" s="30">
        <v>61.428571428571431</v>
      </c>
      <c r="N132" s="37">
        <v>5319.6867859972226</v>
      </c>
      <c r="O132" s="37">
        <v>5306.1506124820944</v>
      </c>
      <c r="P132" s="37">
        <v>5283.6444842059709</v>
      </c>
      <c r="Q132" s="35">
        <v>5252.2493013630992</v>
      </c>
      <c r="S132" s="30">
        <v>61.428571428571431</v>
      </c>
      <c r="T132" s="84">
        <v>5</v>
      </c>
      <c r="U132" s="84">
        <v>0</v>
      </c>
      <c r="V132" s="84"/>
      <c r="W132" s="84"/>
      <c r="X132" s="84"/>
      <c r="Y132" s="84"/>
      <c r="Z132" s="84">
        <v>0</v>
      </c>
      <c r="AA132" s="84">
        <v>0.412301580354408</v>
      </c>
      <c r="AB132" s="85">
        <v>-0.964679979675378</v>
      </c>
    </row>
    <row r="133" spans="1:28">
      <c r="A133" s="62">
        <v>74.285714285714292</v>
      </c>
      <c r="B133" s="14">
        <v>2639.4208003301228</v>
      </c>
      <c r="C133" s="14">
        <v>2626.3292537758944</v>
      </c>
      <c r="D133" s="14">
        <v>2604.5623913939203</v>
      </c>
      <c r="E133" s="56">
        <v>2574.1984560242531</v>
      </c>
      <c r="G133" s="62">
        <v>74.285714285714292</v>
      </c>
      <c r="H133" s="38">
        <v>-0.49258553116119908</v>
      </c>
      <c r="I133" s="38"/>
      <c r="K133" s="64"/>
      <c r="M133" s="30">
        <v>74.285714285714292</v>
      </c>
      <c r="N133" s="37">
        <v>5384.1921450378795</v>
      </c>
      <c r="O133" s="37">
        <v>5371.1005984836511</v>
      </c>
      <c r="P133" s="37">
        <v>5349.3337361016775</v>
      </c>
      <c r="Q133" s="35">
        <v>5318.9698007320103</v>
      </c>
      <c r="S133" s="30">
        <v>74.285714285714292</v>
      </c>
      <c r="T133" s="84">
        <v>5</v>
      </c>
      <c r="U133" s="84">
        <v>0</v>
      </c>
      <c r="V133" s="84"/>
      <c r="W133" s="84"/>
      <c r="X133" s="84"/>
      <c r="Y133" s="84"/>
      <c r="Z133" s="84">
        <v>0</v>
      </c>
      <c r="AA133" s="84">
        <v>0.41230158035440806</v>
      </c>
      <c r="AB133" s="85">
        <v>-0.96467997967537789</v>
      </c>
    </row>
    <row r="134" spans="1:28">
      <c r="A134" s="62">
        <v>87.142857142857153</v>
      </c>
      <c r="B134" s="14">
        <v>2477.4515132064967</v>
      </c>
      <c r="C134" s="14">
        <v>2464.767510825513</v>
      </c>
      <c r="D134" s="14">
        <v>2443.6782580671884</v>
      </c>
      <c r="E134" s="56">
        <v>2414.2595620460902</v>
      </c>
      <c r="G134" s="62">
        <v>87.142857142857153</v>
      </c>
      <c r="H134" s="38">
        <v>-0.45692566833713988</v>
      </c>
      <c r="I134" s="38"/>
      <c r="K134" s="64"/>
      <c r="M134" s="30">
        <v>87.142857142857153</v>
      </c>
      <c r="N134" s="37">
        <v>5448.6791852618117</v>
      </c>
      <c r="O134" s="37">
        <v>5435.995182880828</v>
      </c>
      <c r="P134" s="37">
        <v>5414.9059301225043</v>
      </c>
      <c r="Q134" s="35">
        <v>5385.4872341014061</v>
      </c>
      <c r="S134" s="30">
        <v>87.142857142857153</v>
      </c>
      <c r="T134" s="84">
        <v>5.0000000000000018</v>
      </c>
      <c r="U134" s="84">
        <v>0</v>
      </c>
      <c r="V134" s="84"/>
      <c r="W134" s="84"/>
      <c r="X134" s="84"/>
      <c r="Y134" s="84"/>
      <c r="Z134" s="84">
        <v>0</v>
      </c>
      <c r="AA134" s="84">
        <v>0.412301580354408</v>
      </c>
      <c r="AB134" s="85">
        <v>-0.964679979675378</v>
      </c>
    </row>
    <row r="135" spans="1:28">
      <c r="A135" s="62">
        <v>100</v>
      </c>
      <c r="B135" s="14">
        <v>2331.6434155574884</v>
      </c>
      <c r="C135" s="14">
        <v>2319.3378468392102</v>
      </c>
      <c r="D135" s="14">
        <v>2298.8778026638965</v>
      </c>
      <c r="E135" s="56">
        <v>2270.3368284022949</v>
      </c>
      <c r="G135" s="62">
        <v>100</v>
      </c>
      <c r="H135" s="38">
        <v>-0.42504042542393106</v>
      </c>
      <c r="I135" s="38"/>
      <c r="K135" s="64"/>
      <c r="M135" s="30">
        <v>100</v>
      </c>
      <c r="N135" s="37">
        <v>5513.1518449566374</v>
      </c>
      <c r="O135" s="37">
        <v>5500.8462762383579</v>
      </c>
      <c r="P135" s="37">
        <v>5480.386232063046</v>
      </c>
      <c r="Q135" s="35">
        <v>5451.8452578014439</v>
      </c>
      <c r="S135" s="30">
        <v>100</v>
      </c>
      <c r="T135" s="84">
        <v>5</v>
      </c>
      <c r="U135" s="84">
        <v>0</v>
      </c>
      <c r="V135" s="84"/>
      <c r="W135" s="84"/>
      <c r="X135" s="84"/>
      <c r="Y135" s="84"/>
      <c r="Z135" s="84">
        <v>0</v>
      </c>
      <c r="AA135" s="84">
        <v>0.412301580354408</v>
      </c>
      <c r="AB135" s="85">
        <v>-0.964679979675378</v>
      </c>
    </row>
    <row r="136" spans="1:28">
      <c r="A136" s="62">
        <v>212.5</v>
      </c>
      <c r="B136" s="14">
        <v>1447.9357097848213</v>
      </c>
      <c r="C136" s="14">
        <v>1438.2351377301216</v>
      </c>
      <c r="D136" s="14">
        <v>1422.106331552302</v>
      </c>
      <c r="E136" s="56">
        <v>1399.6072676183664</v>
      </c>
      <c r="G136" s="62">
        <v>212.5</v>
      </c>
      <c r="H136" s="38">
        <v>-0.23962519939852467</v>
      </c>
      <c r="I136" s="38"/>
      <c r="K136" s="64"/>
      <c r="M136" s="30">
        <v>212.5</v>
      </c>
      <c r="N136" s="37">
        <v>6076.9387076620333</v>
      </c>
      <c r="O136" s="37">
        <v>6067.2381356073338</v>
      </c>
      <c r="P136" s="37">
        <v>6051.1093294295151</v>
      </c>
      <c r="Q136" s="35">
        <v>6028.6102654955794</v>
      </c>
      <c r="S136" s="30">
        <v>212.5</v>
      </c>
      <c r="T136" s="84">
        <v>5</v>
      </c>
      <c r="U136" s="84">
        <v>0</v>
      </c>
      <c r="V136" s="84"/>
      <c r="W136" s="84"/>
      <c r="X136" s="84"/>
      <c r="Y136" s="84"/>
      <c r="Z136" s="84">
        <v>0</v>
      </c>
      <c r="AA136" s="84">
        <v>0.412301580354408</v>
      </c>
      <c r="AB136" s="85">
        <v>-0.96467997967537777</v>
      </c>
    </row>
    <row r="137" spans="1:28">
      <c r="A137" s="62">
        <v>325</v>
      </c>
      <c r="B137" s="14">
        <v>920.30083536606242</v>
      </c>
      <c r="C137" s="14">
        <v>912.56388008603244</v>
      </c>
      <c r="D137" s="14">
        <v>899.69991171237393</v>
      </c>
      <c r="E137" s="56">
        <v>881.75517087463527</v>
      </c>
      <c r="G137" s="62">
        <v>325</v>
      </c>
      <c r="H137" s="38">
        <v>-0.13949024520819775</v>
      </c>
      <c r="I137" s="38"/>
      <c r="K137" s="64"/>
      <c r="M137" s="30">
        <v>325</v>
      </c>
      <c r="N137" s="37">
        <v>6640.4087300925221</v>
      </c>
      <c r="O137" s="37">
        <v>6632.671774812492</v>
      </c>
      <c r="P137" s="37">
        <v>6619.8078064388337</v>
      </c>
      <c r="Q137" s="35">
        <v>6601.8630656010955</v>
      </c>
      <c r="S137" s="30">
        <v>325</v>
      </c>
      <c r="T137" s="84">
        <v>4.9999999999999991</v>
      </c>
      <c r="U137" s="84">
        <v>0</v>
      </c>
      <c r="V137" s="84"/>
      <c r="W137" s="84"/>
      <c r="X137" s="84"/>
      <c r="Y137" s="84"/>
      <c r="Z137" s="84">
        <v>0</v>
      </c>
      <c r="AA137" s="84">
        <v>0.41230158035440795</v>
      </c>
      <c r="AB137" s="85">
        <v>-0.964679979675378</v>
      </c>
    </row>
    <row r="138" spans="1:28">
      <c r="A138" s="62">
        <v>437.5</v>
      </c>
      <c r="B138" s="14">
        <v>570.11181098967188</v>
      </c>
      <c r="C138" s="14">
        <v>564.01884630234542</v>
      </c>
      <c r="D138" s="14">
        <v>553.88828431733646</v>
      </c>
      <c r="E138" s="56">
        <v>539.75654020221077</v>
      </c>
      <c r="G138" s="62">
        <v>437.5</v>
      </c>
      <c r="H138" s="38">
        <v>-7.9738674412316302E-2</v>
      </c>
      <c r="I138" s="38"/>
      <c r="K138" s="64"/>
      <c r="M138" s="30">
        <v>437.5</v>
      </c>
      <c r="N138" s="37">
        <v>7203.7208578819173</v>
      </c>
      <c r="O138" s="37">
        <v>7197.6278931945908</v>
      </c>
      <c r="P138" s="37">
        <v>7187.4973312095826</v>
      </c>
      <c r="Q138" s="35">
        <v>7173.3655870944567</v>
      </c>
      <c r="S138" s="30">
        <v>437.5</v>
      </c>
      <c r="T138" s="84">
        <v>5.0000000000000009</v>
      </c>
      <c r="U138" s="84">
        <v>0</v>
      </c>
      <c r="V138" s="84"/>
      <c r="W138" s="84"/>
      <c r="X138" s="84"/>
      <c r="Y138" s="84"/>
      <c r="Z138" s="84">
        <v>0</v>
      </c>
      <c r="AA138" s="84">
        <v>0.412301580354408</v>
      </c>
      <c r="AB138" s="85">
        <v>-0.96467997967537789</v>
      </c>
    </row>
    <row r="139" spans="1:28">
      <c r="A139" s="62">
        <v>550</v>
      </c>
      <c r="B139" s="14">
        <v>331.50444189798179</v>
      </c>
      <c r="C139" s="14">
        <v>326.85448018686895</v>
      </c>
      <c r="D139" s="14">
        <v>319.12314942102114</v>
      </c>
      <c r="E139" s="56">
        <v>308.33824052711844</v>
      </c>
      <c r="G139" s="62">
        <v>550</v>
      </c>
      <c r="H139" s="38">
        <v>-4.3071162955398368E-2</v>
      </c>
      <c r="I139" s="38"/>
      <c r="K139" s="64"/>
      <c r="M139" s="30">
        <v>550</v>
      </c>
      <c r="N139" s="37">
        <v>7766.933698224414</v>
      </c>
      <c r="O139" s="37">
        <v>7762.2837365133009</v>
      </c>
      <c r="P139" s="37">
        <v>7754.552405747454</v>
      </c>
      <c r="Q139" s="35">
        <v>7743.7674968535512</v>
      </c>
      <c r="S139" s="30">
        <v>550</v>
      </c>
      <c r="T139" s="84">
        <v>5</v>
      </c>
      <c r="U139" s="84">
        <v>0</v>
      </c>
      <c r="V139" s="84"/>
      <c r="W139" s="84"/>
      <c r="X139" s="84"/>
      <c r="Y139" s="84"/>
      <c r="Z139" s="84">
        <v>0</v>
      </c>
      <c r="AA139" s="84">
        <v>0.412301580354408</v>
      </c>
      <c r="AB139" s="85">
        <v>-0.96467997967537777</v>
      </c>
    </row>
    <row r="140" spans="1:28">
      <c r="A140" s="62">
        <v>662.5</v>
      </c>
      <c r="B140" s="14">
        <v>171.43558624593047</v>
      </c>
      <c r="C140" s="14">
        <v>168.08715919727769</v>
      </c>
      <c r="D140" s="14">
        <v>162.51984517045904</v>
      </c>
      <c r="E140" s="56">
        <v>154.75365634974315</v>
      </c>
      <c r="G140" s="62">
        <v>662.5</v>
      </c>
      <c r="H140" s="38">
        <v>-2.0822821287235671E-2</v>
      </c>
      <c r="I140" s="38"/>
      <c r="K140" s="64"/>
      <c r="M140" s="30">
        <v>662.5</v>
      </c>
      <c r="N140" s="37">
        <v>8330.076653526552</v>
      </c>
      <c r="O140" s="37">
        <v>8326.7282264779005</v>
      </c>
      <c r="P140" s="37">
        <v>8321.1609124510815</v>
      </c>
      <c r="Q140" s="35">
        <v>8313.3947236303666</v>
      </c>
      <c r="S140" s="30">
        <v>662.5</v>
      </c>
      <c r="T140" s="84">
        <v>5</v>
      </c>
      <c r="U140" s="84">
        <v>0</v>
      </c>
      <c r="V140" s="84"/>
      <c r="W140" s="84"/>
      <c r="X140" s="84"/>
      <c r="Y140" s="84"/>
      <c r="Z140" s="84">
        <v>0</v>
      </c>
      <c r="AA140" s="84">
        <v>0.41230158035440778</v>
      </c>
      <c r="AB140" s="85">
        <v>-0.96467997967537789</v>
      </c>
    </row>
    <row r="141" spans="1:28">
      <c r="A141" s="62">
        <v>775</v>
      </c>
      <c r="B141" s="14">
        <v>70.527766170821451</v>
      </c>
      <c r="C141" s="14">
        <v>68.374309354307655</v>
      </c>
      <c r="D141" s="14">
        <v>64.793831068078447</v>
      </c>
      <c r="E141" s="56">
        <v>59.799201646172378</v>
      </c>
      <c r="G141" s="62">
        <v>775</v>
      </c>
      <c r="H141" s="38">
        <v>-8.0666556811825885E-3</v>
      </c>
      <c r="I141" s="38"/>
      <c r="K141" s="64"/>
      <c r="M141" s="30">
        <v>775</v>
      </c>
      <c r="N141" s="37">
        <v>8893.1669662310942</v>
      </c>
      <c r="O141" s="37">
        <v>8891.0135094145826</v>
      </c>
      <c r="P141" s="37">
        <v>8887.433031128352</v>
      </c>
      <c r="Q141" s="35">
        <v>8882.4384017064458</v>
      </c>
      <c r="S141" s="30">
        <v>775</v>
      </c>
      <c r="T141" s="84">
        <v>5</v>
      </c>
      <c r="U141" s="84">
        <v>0</v>
      </c>
      <c r="V141" s="84"/>
      <c r="W141" s="84"/>
      <c r="X141" s="84"/>
      <c r="Y141" s="84"/>
      <c r="Z141" s="84">
        <v>0</v>
      </c>
      <c r="AA141" s="84">
        <v>0.412301580354408</v>
      </c>
      <c r="AB141" s="85">
        <v>-0.964679979675378</v>
      </c>
    </row>
    <row r="142" spans="1:28">
      <c r="A142" s="62">
        <v>887.5</v>
      </c>
      <c r="B142" s="14">
        <v>16.263164986641819</v>
      </c>
      <c r="C142" s="14">
        <v>15.220661819376204</v>
      </c>
      <c r="D142" s="14">
        <v>13.48732780259931</v>
      </c>
      <c r="E142" s="56">
        <v>11.069393553011508</v>
      </c>
      <c r="G142" s="62">
        <v>887.5</v>
      </c>
      <c r="H142" s="38">
        <v>-1.7778182030849798E-3</v>
      </c>
      <c r="I142" s="38"/>
      <c r="K142" s="64"/>
      <c r="M142" s="30">
        <v>887.5</v>
      </c>
      <c r="N142" s="37">
        <v>9456.2157749257967</v>
      </c>
      <c r="O142" s="37">
        <v>9455.1732717585328</v>
      </c>
      <c r="P142" s="37">
        <v>9453.439937741754</v>
      </c>
      <c r="Q142" s="35">
        <v>9451.0220034921676</v>
      </c>
      <c r="S142" s="30">
        <v>887.5</v>
      </c>
      <c r="T142" s="84">
        <v>5</v>
      </c>
      <c r="U142" s="84">
        <v>0</v>
      </c>
      <c r="V142" s="84"/>
      <c r="W142" s="84"/>
      <c r="X142" s="84"/>
      <c r="Y142" s="84"/>
      <c r="Z142" s="84">
        <v>0</v>
      </c>
      <c r="AA142" s="84">
        <v>0.412301580354408</v>
      </c>
      <c r="AB142" s="85">
        <v>-0.964679979675378</v>
      </c>
    </row>
    <row r="143" spans="1:28">
      <c r="A143" s="62">
        <v>1000</v>
      </c>
      <c r="B143" s="14">
        <v>0</v>
      </c>
      <c r="C143" s="14">
        <v>0</v>
      </c>
      <c r="D143" s="14">
        <v>0</v>
      </c>
      <c r="E143" s="56">
        <v>0</v>
      </c>
      <c r="G143" s="62">
        <v>1000</v>
      </c>
      <c r="H143" s="38">
        <v>0</v>
      </c>
      <c r="I143" s="38"/>
      <c r="K143" s="64"/>
      <c r="M143" s="30">
        <v>1000</v>
      </c>
      <c r="N143" s="37">
        <v>10019.23076923077</v>
      </c>
      <c r="O143" s="37">
        <v>10019.23076923077</v>
      </c>
      <c r="P143" s="37">
        <v>10019.23076923077</v>
      </c>
      <c r="Q143" s="35">
        <v>10019.23076923077</v>
      </c>
      <c r="S143" s="30">
        <v>1000</v>
      </c>
      <c r="T143" s="84">
        <v>5</v>
      </c>
      <c r="U143" s="84">
        <v>0</v>
      </c>
      <c r="V143" s="84"/>
      <c r="W143" s="84"/>
      <c r="X143" s="84"/>
      <c r="Y143" s="84"/>
      <c r="Z143" s="84">
        <v>0</v>
      </c>
      <c r="AA143" s="84">
        <v>0.41230158035440789</v>
      </c>
      <c r="AB143" s="85">
        <v>-0.964679979675378</v>
      </c>
    </row>
    <row r="144" spans="1:28">
      <c r="A144" s="62">
        <v>1200</v>
      </c>
      <c r="B144" s="14">
        <v>46.39738336681409</v>
      </c>
      <c r="C144" s="14">
        <v>48.1150699928723</v>
      </c>
      <c r="D144" s="14">
        <v>50.971008231330828</v>
      </c>
      <c r="E144" s="56">
        <v>54.95493216904012</v>
      </c>
      <c r="G144" s="62">
        <v>1200</v>
      </c>
      <c r="H144" s="38">
        <v>-4.1408045360615819E-3</v>
      </c>
      <c r="I144" s="38"/>
      <c r="K144" s="64"/>
      <c r="M144" s="30">
        <v>1200</v>
      </c>
      <c r="N144" s="37">
        <v>11020.079302700904</v>
      </c>
      <c r="O144" s="37">
        <v>11021.796989326964</v>
      </c>
      <c r="P144" s="37">
        <v>11024.652927565421</v>
      </c>
      <c r="Q144" s="35">
        <v>11028.636851503132</v>
      </c>
      <c r="S144" s="30">
        <v>1200</v>
      </c>
      <c r="T144" s="84">
        <v>5</v>
      </c>
      <c r="U144" s="84">
        <v>0</v>
      </c>
      <c r="V144" s="84"/>
      <c r="W144" s="84"/>
      <c r="X144" s="84"/>
      <c r="Y144" s="84"/>
      <c r="Z144" s="84">
        <v>0</v>
      </c>
      <c r="AA144" s="84">
        <v>0.41230158035440789</v>
      </c>
      <c r="AB144" s="85">
        <v>-0.96467997967537766</v>
      </c>
    </row>
    <row r="145" spans="1:28">
      <c r="A145" s="62">
        <v>1400</v>
      </c>
      <c r="B145" s="14">
        <v>169.46927432799575</v>
      </c>
      <c r="C145" s="14">
        <v>172.76653682626653</v>
      </c>
      <c r="D145" s="14">
        <v>178.24878132196574</v>
      </c>
      <c r="E145" s="56">
        <v>185.89630142049617</v>
      </c>
      <c r="G145" s="62">
        <v>1400</v>
      </c>
      <c r="H145" s="38">
        <v>-1.3986702816730645E-2</v>
      </c>
      <c r="I145" s="38"/>
      <c r="K145" s="64"/>
      <c r="M145" s="30">
        <v>1400</v>
      </c>
      <c r="N145" s="37">
        <v>12020.859609757998</v>
      </c>
      <c r="O145" s="37">
        <v>12024.15687225627</v>
      </c>
      <c r="P145" s="37">
        <v>12029.639116751967</v>
      </c>
      <c r="Q145" s="35">
        <v>12037.286636850498</v>
      </c>
      <c r="S145" s="30">
        <v>1400</v>
      </c>
      <c r="T145" s="84">
        <v>5.0000000000000009</v>
      </c>
      <c r="U145" s="84">
        <v>0</v>
      </c>
      <c r="V145" s="84"/>
      <c r="W145" s="84"/>
      <c r="X145" s="84"/>
      <c r="Y145" s="84"/>
      <c r="Z145" s="84">
        <v>0</v>
      </c>
      <c r="AA145" s="84">
        <v>0.41230158035440789</v>
      </c>
      <c r="AB145" s="85">
        <v>-0.964679979675378</v>
      </c>
    </row>
    <row r="146" spans="1:28">
      <c r="A146" s="62">
        <v>1600</v>
      </c>
      <c r="B146" s="14">
        <v>353.24449195370812</v>
      </c>
      <c r="C146" s="14">
        <v>358.01198782601574</v>
      </c>
      <c r="D146" s="14">
        <v>365.9387385830226</v>
      </c>
      <c r="E146" s="56">
        <v>376.99625084425702</v>
      </c>
      <c r="G146" s="62">
        <v>1600</v>
      </c>
      <c r="H146" s="38">
        <v>-2.6991489178960326E-2</v>
      </c>
      <c r="I146" s="38"/>
      <c r="K146" s="64"/>
      <c r="M146" s="30">
        <v>1600</v>
      </c>
      <c r="N146" s="37">
        <v>13021.585901857996</v>
      </c>
      <c r="O146" s="37">
        <v>13026.353397730303</v>
      </c>
      <c r="P146" s="37">
        <v>13034.280148487309</v>
      </c>
      <c r="Q146" s="35">
        <v>13045.337660748544</v>
      </c>
      <c r="S146" s="30">
        <v>1600</v>
      </c>
      <c r="T146" s="84">
        <v>5</v>
      </c>
      <c r="U146" s="84">
        <v>0</v>
      </c>
      <c r="V146" s="84"/>
      <c r="W146" s="84"/>
      <c r="X146" s="84"/>
      <c r="Y146" s="84"/>
      <c r="Z146" s="84">
        <v>0</v>
      </c>
      <c r="AA146" s="84">
        <v>0.41230158035440811</v>
      </c>
      <c r="AB146" s="85">
        <v>-0.96467997967537777</v>
      </c>
    </row>
    <row r="147" spans="1:28">
      <c r="A147" s="62">
        <v>1800</v>
      </c>
      <c r="B147" s="14">
        <v>586.62941608240476</v>
      </c>
      <c r="C147" s="14">
        <v>592.77778532920934</v>
      </c>
      <c r="D147" s="14">
        <v>603.00046656204927</v>
      </c>
      <c r="E147" s="56">
        <v>617.26071348287678</v>
      </c>
      <c r="G147" s="62">
        <v>1800</v>
      </c>
      <c r="H147" s="38">
        <v>-4.1685152500090084E-2</v>
      </c>
      <c r="I147" s="38"/>
      <c r="K147" s="64"/>
      <c r="M147" s="30">
        <v>1800</v>
      </c>
      <c r="N147" s="37">
        <v>14022.268050311914</v>
      </c>
      <c r="O147" s="37">
        <v>14028.416419558718</v>
      </c>
      <c r="P147" s="37">
        <v>14038.639100791557</v>
      </c>
      <c r="Q147" s="35">
        <v>14052.899347712386</v>
      </c>
      <c r="S147" s="30">
        <v>1800</v>
      </c>
      <c r="T147" s="84">
        <v>5</v>
      </c>
      <c r="U147" s="84">
        <v>0</v>
      </c>
      <c r="V147" s="84"/>
      <c r="W147" s="84"/>
      <c r="X147" s="84"/>
      <c r="Y147" s="84"/>
      <c r="Z147" s="84">
        <v>0</v>
      </c>
      <c r="AA147" s="84">
        <v>0.41230158035440811</v>
      </c>
      <c r="AB147" s="85">
        <v>-0.96467997967537777</v>
      </c>
    </row>
    <row r="148" spans="1:28">
      <c r="A148" s="62">
        <v>2000</v>
      </c>
      <c r="B148" s="14">
        <v>861.54684939949038</v>
      </c>
      <c r="C148" s="14">
        <v>869.00128115687926</v>
      </c>
      <c r="D148" s="14">
        <v>881.3955074254709</v>
      </c>
      <c r="E148" s="56">
        <v>898.68497610370309</v>
      </c>
      <c r="G148" s="62">
        <v>2000</v>
      </c>
      <c r="H148" s="38">
        <v>-5.7190958417936533E-2</v>
      </c>
      <c r="I148" s="38"/>
      <c r="K148" s="64"/>
      <c r="M148" s="30">
        <v>2000</v>
      </c>
      <c r="N148" s="37">
        <v>15022.913242361212</v>
      </c>
      <c r="O148" s="37">
        <v>15030.367674118601</v>
      </c>
      <c r="P148" s="37">
        <v>15042.761900387191</v>
      </c>
      <c r="Q148" s="35">
        <v>15060.051369065424</v>
      </c>
      <c r="S148" s="30">
        <v>2000</v>
      </c>
      <c r="T148" s="84">
        <v>5</v>
      </c>
      <c r="U148" s="84">
        <v>0</v>
      </c>
      <c r="V148" s="84"/>
      <c r="W148" s="84"/>
      <c r="X148" s="84"/>
      <c r="Y148" s="84"/>
      <c r="Z148" s="84">
        <v>0</v>
      </c>
      <c r="AA148" s="84">
        <v>0.41230158035440834</v>
      </c>
      <c r="AB148" s="85">
        <v>-0.964679979675378</v>
      </c>
    </row>
    <row r="149" spans="1:28">
      <c r="A149" s="62">
        <v>2200</v>
      </c>
      <c r="B149" s="14">
        <v>1171.899160370551</v>
      </c>
      <c r="C149" s="14">
        <v>1180.5958271967986</v>
      </c>
      <c r="D149" s="14">
        <v>1195.0554748178565</v>
      </c>
      <c r="E149" s="56">
        <v>1215.2261267992649</v>
      </c>
      <c r="G149" s="62">
        <v>2200</v>
      </c>
      <c r="H149" s="38">
        <v>-7.2975189113042127E-2</v>
      </c>
      <c r="I149" s="38"/>
      <c r="K149" s="64"/>
      <c r="M149" s="30">
        <v>2200</v>
      </c>
      <c r="N149" s="37">
        <v>16023.526903792646</v>
      </c>
      <c r="O149" s="37">
        <v>16032.223570618895</v>
      </c>
      <c r="P149" s="37">
        <v>16046.683218239952</v>
      </c>
      <c r="Q149" s="35">
        <v>16066.853870221361</v>
      </c>
      <c r="S149" s="30">
        <v>2200</v>
      </c>
      <c r="T149" s="84">
        <v>5</v>
      </c>
      <c r="U149" s="84">
        <v>0</v>
      </c>
      <c r="V149" s="84"/>
      <c r="W149" s="84"/>
      <c r="X149" s="84"/>
      <c r="Y149" s="84"/>
      <c r="Z149" s="84">
        <v>0</v>
      </c>
      <c r="AA149" s="84">
        <v>0.41230158035440834</v>
      </c>
      <c r="AB149" s="85">
        <v>-0.96467997967537777</v>
      </c>
    </row>
    <row r="150" spans="1:28">
      <c r="A150" s="62">
        <v>2400</v>
      </c>
      <c r="B150" s="14">
        <v>1512.9490958423642</v>
      </c>
      <c r="C150" s="14">
        <v>1522.8327033222333</v>
      </c>
      <c r="D150" s="14">
        <v>1539.2658361809542</v>
      </c>
      <c r="E150" s="56">
        <v>1562.1894241233547</v>
      </c>
      <c r="G150" s="62">
        <v>2400</v>
      </c>
      <c r="H150" s="38">
        <v>-8.870980089237257E-2</v>
      </c>
      <c r="I150" s="38"/>
      <c r="K150" s="64"/>
      <c r="M150" s="30">
        <v>2400</v>
      </c>
      <c r="N150" s="37">
        <v>17024.113249902803</v>
      </c>
      <c r="O150" s="37">
        <v>17033.99685738267</v>
      </c>
      <c r="P150" s="37">
        <v>17050.429990241391</v>
      </c>
      <c r="Q150" s="35">
        <v>17073.353578183793</v>
      </c>
      <c r="S150" s="30">
        <v>2400</v>
      </c>
      <c r="T150" s="84">
        <v>5</v>
      </c>
      <c r="U150" s="84">
        <v>0</v>
      </c>
      <c r="V150" s="84"/>
      <c r="W150" s="84"/>
      <c r="X150" s="84"/>
      <c r="Y150" s="84"/>
      <c r="Z150" s="84">
        <v>0</v>
      </c>
      <c r="AA150" s="84">
        <v>0.41230158035440811</v>
      </c>
      <c r="AB150" s="85">
        <v>-0.96467997967537755</v>
      </c>
    </row>
    <row r="151" spans="1:28">
      <c r="A151" s="62">
        <v>2600</v>
      </c>
      <c r="B151" s="14">
        <v>1880.9293670679074</v>
      </c>
      <c r="C151" s="14">
        <v>1891.9514066541765</v>
      </c>
      <c r="D151" s="14">
        <v>1910.2773712641774</v>
      </c>
      <c r="E151" s="56">
        <v>1935.8413866578551</v>
      </c>
      <c r="G151" s="62">
        <v>2600</v>
      </c>
      <c r="H151" s="38">
        <v>-0.10419358352238339</v>
      </c>
      <c r="I151" s="38"/>
      <c r="K151" s="64"/>
      <c r="M151" s="30">
        <v>2600</v>
      </c>
      <c r="N151" s="37">
        <v>18024.675632895778</v>
      </c>
      <c r="O151" s="37">
        <v>18035.697672482045</v>
      </c>
      <c r="P151" s="37">
        <v>18054.023637092047</v>
      </c>
      <c r="Q151" s="35">
        <v>18079.587652485723</v>
      </c>
      <c r="S151" s="30">
        <v>2600</v>
      </c>
      <c r="T151" s="84">
        <v>5</v>
      </c>
      <c r="U151" s="84">
        <v>0</v>
      </c>
      <c r="V151" s="84"/>
      <c r="W151" s="84"/>
      <c r="X151" s="84"/>
      <c r="Y151" s="84"/>
      <c r="Z151" s="84">
        <v>0</v>
      </c>
      <c r="AA151" s="84">
        <v>0.41230158035440834</v>
      </c>
      <c r="AB151" s="85">
        <v>-0.96467997967537777</v>
      </c>
    </row>
    <row r="152" spans="1:28">
      <c r="A152" s="62">
        <v>2800</v>
      </c>
      <c r="B152" s="14">
        <v>2272.7854708134787</v>
      </c>
      <c r="C152" s="14">
        <v>2284.9029359146271</v>
      </c>
      <c r="D152" s="14">
        <v>2305.0502267012816</v>
      </c>
      <c r="E152" s="56">
        <v>2333.1549220213765</v>
      </c>
      <c r="G152" s="62">
        <v>2800</v>
      </c>
      <c r="H152" s="38">
        <v>-0.11930523522728886</v>
      </c>
      <c r="I152" s="38"/>
      <c r="K152" s="64"/>
      <c r="M152" s="30">
        <v>2800</v>
      </c>
      <c r="N152" s="37">
        <v>19025.216770725761</v>
      </c>
      <c r="O152" s="37">
        <v>19037.334235826907</v>
      </c>
      <c r="P152" s="37">
        <v>19057.481526613563</v>
      </c>
      <c r="Q152" s="35">
        <v>19085.586221933656</v>
      </c>
      <c r="S152" s="30">
        <v>2800</v>
      </c>
      <c r="T152" s="84">
        <v>5</v>
      </c>
      <c r="U152" s="84">
        <v>0</v>
      </c>
      <c r="V152" s="84"/>
      <c r="W152" s="84"/>
      <c r="X152" s="84"/>
      <c r="Y152" s="84"/>
      <c r="Z152" s="84">
        <v>0</v>
      </c>
      <c r="AA152" s="84">
        <v>0.41230158035440811</v>
      </c>
      <c r="AB152" s="85">
        <v>-0.96467997967537822</v>
      </c>
    </row>
    <row r="153" spans="1:28">
      <c r="A153" s="62">
        <v>3000</v>
      </c>
      <c r="B153" s="14">
        <v>2686.0000584571653</v>
      </c>
      <c r="C153" s="14">
        <v>2699.1744768820458</v>
      </c>
      <c r="D153" s="14">
        <v>2721.0791274616449</v>
      </c>
      <c r="E153" s="56">
        <v>2751.6352720645032</v>
      </c>
      <c r="G153" s="62">
        <v>3000</v>
      </c>
      <c r="H153" s="38">
        <v>-0.1339745962155614</v>
      </c>
      <c r="I153" s="38"/>
      <c r="K153" s="64"/>
      <c r="M153" s="30">
        <v>3000</v>
      </c>
      <c r="N153" s="37">
        <v>20025.73890337671</v>
      </c>
      <c r="O153" s="37">
        <v>20038.913321801589</v>
      </c>
      <c r="P153" s="37">
        <v>20060.817972381188</v>
      </c>
      <c r="Q153" s="35">
        <v>20091.374116984043</v>
      </c>
      <c r="S153" s="30">
        <v>3000</v>
      </c>
      <c r="T153" s="84">
        <v>5</v>
      </c>
      <c r="U153" s="84">
        <v>0</v>
      </c>
      <c r="V153" s="84"/>
      <c r="W153" s="84"/>
      <c r="X153" s="84"/>
      <c r="Y153" s="84"/>
      <c r="Z153" s="84">
        <v>0</v>
      </c>
      <c r="AA153" s="84">
        <v>0.41230158035440789</v>
      </c>
      <c r="AB153" s="85">
        <v>-0.96467997967537777</v>
      </c>
    </row>
    <row r="154" spans="1:28">
      <c r="A154" s="62">
        <v>3200</v>
      </c>
      <c r="B154" s="14">
        <v>3118.4693136347373</v>
      </c>
      <c r="C154" s="14">
        <v>3132.6660027133016</v>
      </c>
      <c r="D154" s="14">
        <v>3156.2703474080031</v>
      </c>
      <c r="E154" s="56">
        <v>3189.1974998921801</v>
      </c>
      <c r="G154" s="62">
        <v>3200</v>
      </c>
      <c r="H154" s="38">
        <v>-0.14816458000008004</v>
      </c>
      <c r="I154" s="38"/>
      <c r="K154" s="64"/>
      <c r="M154" s="30">
        <v>3200</v>
      </c>
      <c r="N154" s="37">
        <v>21026.243902863825</v>
      </c>
      <c r="O154" s="37">
        <v>21040.440591942388</v>
      </c>
      <c r="P154" s="37">
        <v>21064.044936637092</v>
      </c>
      <c r="Q154" s="35">
        <v>21096.972089121267</v>
      </c>
      <c r="S154" s="30">
        <v>3200</v>
      </c>
      <c r="T154" s="84">
        <v>5</v>
      </c>
      <c r="U154" s="84">
        <v>0</v>
      </c>
      <c r="V154" s="84"/>
      <c r="W154" s="84"/>
      <c r="X154" s="84"/>
      <c r="Y154" s="84"/>
      <c r="Z154" s="84">
        <v>0</v>
      </c>
      <c r="AA154" s="84">
        <v>0.41230158035440834</v>
      </c>
      <c r="AB154" s="85">
        <v>-0.96467997967537822</v>
      </c>
    </row>
    <row r="155" spans="1:28">
      <c r="A155" s="62">
        <v>3400</v>
      </c>
      <c r="B155" s="14">
        <v>3568.4136688630419</v>
      </c>
      <c r="C155" s="14">
        <v>3583.6011513896651</v>
      </c>
      <c r="D155" s="14">
        <v>3608.8528541366459</v>
      </c>
      <c r="E155" s="56">
        <v>3644.0780077085442</v>
      </c>
      <c r="G155" s="62">
        <v>3400</v>
      </c>
      <c r="H155" s="38">
        <v>-0.16185959479155565</v>
      </c>
      <c r="I155" s="38"/>
      <c r="K155" s="64"/>
      <c r="M155" s="30">
        <v>3400</v>
      </c>
      <c r="N155" s="37">
        <v>22026.733352679588</v>
      </c>
      <c r="O155" s="37">
        <v>22041.920835206209</v>
      </c>
      <c r="P155" s="37">
        <v>22067.172537953193</v>
      </c>
      <c r="Q155" s="35">
        <v>22102.39769152509</v>
      </c>
      <c r="S155" s="30">
        <v>3400</v>
      </c>
      <c r="T155" s="84">
        <v>5</v>
      </c>
      <c r="U155" s="84">
        <v>0</v>
      </c>
      <c r="V155" s="84"/>
      <c r="W155" s="84"/>
      <c r="X155" s="84"/>
      <c r="Y155" s="84"/>
      <c r="Z155" s="84">
        <v>0</v>
      </c>
      <c r="AA155" s="84">
        <v>0.41230158035440789</v>
      </c>
      <c r="AB155" s="85">
        <v>-0.96467997967537777</v>
      </c>
    </row>
    <row r="156" spans="1:28">
      <c r="A156" s="62">
        <v>3600</v>
      </c>
      <c r="B156" s="14">
        <v>4034.3118762178574</v>
      </c>
      <c r="C156" s="14">
        <v>4050.4614151505539</v>
      </c>
      <c r="D156" s="14">
        <v>4077.312695862443</v>
      </c>
      <c r="E156" s="56">
        <v>4114.769199138902</v>
      </c>
      <c r="G156" s="62">
        <v>3600</v>
      </c>
      <c r="H156" s="38">
        <v>-0.17505800169520536</v>
      </c>
      <c r="I156" s="38"/>
      <c r="K156" s="64"/>
      <c r="M156" s="30">
        <v>3600</v>
      </c>
      <c r="N156" s="37">
        <v>23027.208606458906</v>
      </c>
      <c r="O156" s="37">
        <v>23043.358145391598</v>
      </c>
      <c r="P156" s="37">
        <v>23070.209426103487</v>
      </c>
      <c r="Q156" s="35">
        <v>23107.665929379946</v>
      </c>
      <c r="S156" s="30">
        <v>3600</v>
      </c>
      <c r="T156" s="84">
        <v>5</v>
      </c>
      <c r="U156" s="84">
        <v>0</v>
      </c>
      <c r="V156" s="84"/>
      <c r="W156" s="84"/>
      <c r="X156" s="84"/>
      <c r="Y156" s="84"/>
      <c r="Z156" s="84">
        <v>0</v>
      </c>
      <c r="AA156" s="84">
        <v>0.41230158035440789</v>
      </c>
      <c r="AB156" s="85">
        <v>-0.96467997967537811</v>
      </c>
    </row>
    <row r="157" spans="1:28">
      <c r="A157" s="62">
        <v>3800</v>
      </c>
      <c r="B157" s="14">
        <v>4514.8513732956808</v>
      </c>
      <c r="C157" s="14">
        <v>4531.9365958591397</v>
      </c>
      <c r="D157" s="14">
        <v>4560.3436054331214</v>
      </c>
      <c r="E157" s="56">
        <v>4599.9702906031571</v>
      </c>
      <c r="G157" s="62">
        <v>3800</v>
      </c>
      <c r="H157" s="38">
        <v>-0.18776713793258626</v>
      </c>
      <c r="I157" s="38"/>
      <c r="K157" s="64"/>
      <c r="M157" s="30">
        <v>3800</v>
      </c>
      <c r="N157" s="37">
        <v>24027.670832144377</v>
      </c>
      <c r="O157" s="37">
        <v>24044.756054707836</v>
      </c>
      <c r="P157" s="37">
        <v>24073.163064281816</v>
      </c>
      <c r="Q157" s="35">
        <v>24112.789749451851</v>
      </c>
      <c r="S157" s="30">
        <v>3800</v>
      </c>
      <c r="T157" s="84">
        <v>5</v>
      </c>
      <c r="U157" s="84">
        <v>0</v>
      </c>
      <c r="V157" s="84"/>
      <c r="W157" s="84"/>
      <c r="X157" s="84"/>
      <c r="Y157" s="84"/>
      <c r="Z157" s="84">
        <v>0</v>
      </c>
      <c r="AA157" s="84">
        <v>0.41230158035440834</v>
      </c>
      <c r="AB157" s="85">
        <v>-0.96467997967537755</v>
      </c>
    </row>
    <row r="158" spans="1:28">
      <c r="A158" s="62">
        <v>4000</v>
      </c>
      <c r="B158" s="14">
        <v>5008.890276574587</v>
      </c>
      <c r="C158" s="14">
        <v>5026.8868668230598</v>
      </c>
      <c r="D158" s="14">
        <v>5056.8091759758145</v>
      </c>
      <c r="E158" s="56">
        <v>5098.5496457450281</v>
      </c>
      <c r="G158" s="62">
        <v>4000</v>
      </c>
      <c r="H158" s="38">
        <v>-0.19999999999999996</v>
      </c>
      <c r="I158" s="38"/>
      <c r="K158" s="64"/>
      <c r="M158" s="30">
        <v>4000</v>
      </c>
      <c r="N158" s="37">
        <v>25028.121045805357</v>
      </c>
      <c r="O158" s="37">
        <v>25046.117636053827</v>
      </c>
      <c r="P158" s="37">
        <v>25076.039945206583</v>
      </c>
      <c r="Q158" s="35">
        <v>25117.780414975794</v>
      </c>
      <c r="S158" s="30">
        <v>4000</v>
      </c>
      <c r="T158" s="84">
        <v>5</v>
      </c>
      <c r="U158" s="84">
        <v>0</v>
      </c>
      <c r="V158" s="84"/>
      <c r="W158" s="84"/>
      <c r="X158" s="84"/>
      <c r="Y158" s="84"/>
      <c r="Z158" s="84">
        <v>0</v>
      </c>
      <c r="AA158" s="84">
        <v>0.41230158035440834</v>
      </c>
      <c r="AB158" s="85">
        <v>-0.96467997967537811</v>
      </c>
    </row>
    <row r="159" spans="1:28">
      <c r="A159" s="62">
        <v>4200</v>
      </c>
      <c r="B159" s="14">
        <v>5515.427836777324</v>
      </c>
      <c r="C159" s="14">
        <v>5534.3132813751063</v>
      </c>
      <c r="D159" s="14">
        <v>5565.7134579607682</v>
      </c>
      <c r="E159" s="56">
        <v>5609.5154959261854</v>
      </c>
      <c r="G159" s="62">
        <v>4200</v>
      </c>
      <c r="H159" s="38">
        <v>-0.21177301800310777</v>
      </c>
      <c r="I159" s="38"/>
      <c r="K159" s="64"/>
      <c r="M159" s="30">
        <v>4200</v>
      </c>
      <c r="N159" s="37">
        <v>26028.560137927292</v>
      </c>
      <c r="O159" s="37">
        <v>26047.445582525073</v>
      </c>
      <c r="P159" s="37">
        <v>26078.845759110733</v>
      </c>
      <c r="Q159" s="35">
        <v>26122.647797076148</v>
      </c>
      <c r="S159" s="30">
        <v>4200</v>
      </c>
      <c r="T159" s="84">
        <v>5</v>
      </c>
      <c r="U159" s="84">
        <v>0</v>
      </c>
      <c r="V159" s="84"/>
      <c r="W159" s="84"/>
      <c r="X159" s="84"/>
      <c r="Y159" s="84"/>
      <c r="Z159" s="84">
        <v>0</v>
      </c>
      <c r="AA159" s="84">
        <v>0.41230158035440789</v>
      </c>
      <c r="AB159" s="85">
        <v>-0.96467997967537844</v>
      </c>
    </row>
    <row r="160" spans="1:28">
      <c r="A160" s="62">
        <v>4400</v>
      </c>
      <c r="B160" s="14">
        <v>6033.5811614905933</v>
      </c>
      <c r="C160" s="14">
        <v>6053.3345374211031</v>
      </c>
      <c r="D160" s="14">
        <v>6086.1777934625334</v>
      </c>
      <c r="E160" s="56">
        <v>6131.9928717347793</v>
      </c>
      <c r="G160" s="62">
        <v>4400</v>
      </c>
      <c r="H160" s="38">
        <v>-0.22310455691099884</v>
      </c>
      <c r="I160" s="38"/>
      <c r="K160" s="64"/>
      <c r="M160" s="30">
        <v>4400</v>
      </c>
      <c r="N160" s="37">
        <v>27028.988894124395</v>
      </c>
      <c r="O160" s="37">
        <v>27048.742270054903</v>
      </c>
      <c r="P160" s="37">
        <v>27081.585526096333</v>
      </c>
      <c r="Q160" s="35">
        <v>27127.40060436858</v>
      </c>
      <c r="S160" s="30">
        <v>4400</v>
      </c>
      <c r="T160" s="84">
        <v>5</v>
      </c>
      <c r="U160" s="84">
        <v>0</v>
      </c>
      <c r="V160" s="84"/>
      <c r="W160" s="84"/>
      <c r="X160" s="84"/>
      <c r="Y160" s="84"/>
      <c r="Z160" s="84">
        <v>0</v>
      </c>
      <c r="AA160" s="84">
        <v>0.41230158035440834</v>
      </c>
      <c r="AB160" s="85">
        <v>-0.964679979675378</v>
      </c>
    </row>
    <row r="161" spans="1:28">
      <c r="A161" s="62">
        <v>4600</v>
      </c>
      <c r="B161" s="14">
        <v>6562.5666528986894</v>
      </c>
      <c r="C161" s="14">
        <v>6583.1684486090699</v>
      </c>
      <c r="D161" s="14">
        <v>6617.4223429210842</v>
      </c>
      <c r="E161" s="56">
        <v>6665.2052072952756</v>
      </c>
      <c r="G161" s="62">
        <v>4600</v>
      </c>
      <c r="H161" s="38">
        <v>-0.23401390751688511</v>
      </c>
      <c r="I161" s="38"/>
      <c r="K161" s="64"/>
      <c r="M161" s="30">
        <v>4600</v>
      </c>
      <c r="N161" s="37">
        <v>28029.408011656677</v>
      </c>
      <c r="O161" s="37">
        <v>28050.009807367056</v>
      </c>
      <c r="P161" s="37">
        <v>28084.263701679069</v>
      </c>
      <c r="Q161" s="35">
        <v>28132.046566053257</v>
      </c>
      <c r="S161" s="30">
        <v>4600</v>
      </c>
      <c r="T161" s="84">
        <v>5</v>
      </c>
      <c r="U161" s="84">
        <v>0</v>
      </c>
      <c r="V161" s="84"/>
      <c r="W161" s="84"/>
      <c r="X161" s="84"/>
      <c r="Y161" s="84"/>
      <c r="Z161" s="84">
        <v>0</v>
      </c>
      <c r="AA161" s="84">
        <v>0.41230158035440789</v>
      </c>
      <c r="AB161" s="85">
        <v>-0.96467997967537822</v>
      </c>
    </row>
    <row r="162" spans="1:28">
      <c r="A162" s="62">
        <v>4800</v>
      </c>
      <c r="B162" s="14">
        <v>7101.6850433082145</v>
      </c>
      <c r="C162" s="14">
        <v>7123.117006808804</v>
      </c>
      <c r="D162" s="14">
        <v>7158.7511924384753</v>
      </c>
      <c r="E162" s="56">
        <v>7208.4595100831075</v>
      </c>
      <c r="G162" s="62">
        <v>4800</v>
      </c>
      <c r="H162" s="38">
        <v>-0.24452061033770189</v>
      </c>
      <c r="I162" s="38"/>
      <c r="K162" s="64"/>
      <c r="M162" s="30">
        <v>4800</v>
      </c>
      <c r="N162" s="37">
        <v>29029.81811274563</v>
      </c>
      <c r="O162" s="37">
        <v>29051.250076246215</v>
      </c>
      <c r="P162" s="37">
        <v>29086.884261875886</v>
      </c>
      <c r="Q162" s="35">
        <v>29136.592579520518</v>
      </c>
      <c r="S162" s="30">
        <v>4800</v>
      </c>
      <c r="T162" s="84">
        <v>5</v>
      </c>
      <c r="U162" s="84">
        <v>0</v>
      </c>
      <c r="V162" s="84"/>
      <c r="W162" s="84"/>
      <c r="X162" s="84"/>
      <c r="Y162" s="84"/>
      <c r="Z162" s="84">
        <v>0</v>
      </c>
      <c r="AA162" s="84">
        <v>0.41230158035440789</v>
      </c>
      <c r="AB162" s="85">
        <v>-0.964679979675378</v>
      </c>
    </row>
    <row r="163" spans="1:28">
      <c r="A163" s="62">
        <v>5000</v>
      </c>
      <c r="B163" s="14">
        <v>7650.3092111870646</v>
      </c>
      <c r="C163" s="14">
        <v>7672.554220097386</v>
      </c>
      <c r="D163" s="14">
        <v>7709.5402282539571</v>
      </c>
      <c r="E163" s="56">
        <v>7761.134286301477</v>
      </c>
      <c r="G163" s="62">
        <v>5000</v>
      </c>
      <c r="H163" s="38">
        <v>-0.2546440075000701</v>
      </c>
      <c r="I163" s="38"/>
      <c r="K163" s="64"/>
      <c r="M163" s="30">
        <v>5000</v>
      </c>
      <c r="N163" s="37">
        <v>30030.219755415736</v>
      </c>
      <c r="O163" s="37">
        <v>30052.46476432605</v>
      </c>
      <c r="P163" s="37">
        <v>30089.450772482622</v>
      </c>
      <c r="Q163" s="35">
        <v>30141.044830530143</v>
      </c>
      <c r="S163" s="30">
        <v>5000</v>
      </c>
      <c r="T163" s="84">
        <v>5</v>
      </c>
      <c r="U163" s="84">
        <v>0</v>
      </c>
      <c r="V163" s="84"/>
      <c r="W163" s="84"/>
      <c r="X163" s="84"/>
      <c r="Y163" s="84"/>
      <c r="Z163" s="84">
        <v>0</v>
      </c>
      <c r="AA163" s="84">
        <v>0.41230158035440834</v>
      </c>
      <c r="AB163" s="85">
        <v>-0.96467997967537755</v>
      </c>
    </row>
    <row r="164" spans="1:28">
      <c r="A164" s="73">
        <v>5200</v>
      </c>
      <c r="B164" s="47">
        <v>8207.8741711880102</v>
      </c>
      <c r="C164" s="47">
        <v>8230.9161208133119</v>
      </c>
      <c r="D164" s="47">
        <v>8269.2271747769355</v>
      </c>
      <c r="E164" s="87">
        <v>8322.6696207336227</v>
      </c>
      <c r="G164" s="73">
        <v>5200</v>
      </c>
      <c r="H164" s="50">
        <v>-0.26440295154894322</v>
      </c>
      <c r="I164" s="50"/>
      <c r="J164" s="71"/>
      <c r="K164" s="72"/>
      <c r="M164" s="40">
        <v>5200</v>
      </c>
      <c r="N164" s="49">
        <v>31030.613442401544</v>
      </c>
      <c r="O164" s="49">
        <v>31053.655392026838</v>
      </c>
      <c r="P164" s="49">
        <v>31091.966445990463</v>
      </c>
      <c r="Q164" s="45">
        <v>31145.408891947151</v>
      </c>
      <c r="S164" s="40">
        <v>5200</v>
      </c>
      <c r="T164" s="88">
        <v>5</v>
      </c>
      <c r="U164" s="88">
        <v>0</v>
      </c>
      <c r="V164" s="88"/>
      <c r="W164" s="88"/>
      <c r="X164" s="88"/>
      <c r="Y164" s="88"/>
      <c r="Z164" s="88">
        <v>0</v>
      </c>
      <c r="AA164" s="88">
        <v>0.41230158035440834</v>
      </c>
      <c r="AB164" s="89">
        <v>-0.96467997967537822</v>
      </c>
    </row>
  </sheetData>
  <mergeCells count="2">
    <mergeCell ref="O3:S3"/>
    <mergeCell ref="L1:Y1"/>
  </mergeCells>
  <pageMargins left="0.7" right="0.7" top="0.75" bottom="0.75" header="0.3" footer="0.3"/>
  <pageSetup paperSize="9"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IG hedging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Grant Belford</dc:creator>
  <cp:lastModifiedBy>Charles Grant Belford</cp:lastModifiedBy>
  <dcterms:created xsi:type="dcterms:W3CDTF">2024-01-16T08:52:07Z</dcterms:created>
  <dcterms:modified xsi:type="dcterms:W3CDTF">2024-01-16T09:27:51Z</dcterms:modified>
</cp:coreProperties>
</file>